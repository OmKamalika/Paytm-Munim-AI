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8_{F99BEF77-9C69-4E12-9C60-01A907A4D3EF}" xr6:coauthVersionLast="47" xr6:coauthVersionMax="47" xr10:uidLastSave="{00000000-0000-0000-0000-000000000000}"/>
  <bookViews>
    <workbookView xWindow="1103" yWindow="1103" windowWidth="14400" windowHeight="8182" xr2:uid="{00000000-000D-0000-FFFF-FFFF00000000}"/>
  </bookViews>
  <sheets>
    <sheet name="Start_Here" sheetId="1" r:id="rId1"/>
    <sheet name="Inputs" sheetId="2" r:id="rId2"/>
    <sheet name="History_DAD" sheetId="3" r:id="rId3"/>
    <sheet name="History_MAT" sheetId="4" r:id="rId4"/>
    <sheet name="History_SIO" sheetId="5" r:id="rId5"/>
    <sheet name="Forecast" sheetId="6" r:id="rId6"/>
    <sheet name="Outflows" sheetId="7" r:id="rId7"/>
    <sheet name="Daily_Cash" sheetId="8" r:id="rId8"/>
    <sheet name="Loan_Schedule" sheetId="9" r:id="rId9"/>
    <sheet name="Policies" sheetId="10" r:id="rId10"/>
    <sheet name="Options" sheetId="11" r:id="rId11"/>
  </sheets>
  <definedNames>
    <definedName name="_xlnm.Print_Area" localSheetId="7">Daily_Cash!$A$1:$M$46</definedName>
    <definedName name="_xlnm.Print_Area" localSheetId="5">Forecast!$A$1:$I$47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1" l="1"/>
  <c r="B12" i="10"/>
  <c r="B6" i="10"/>
  <c r="B3" i="10"/>
  <c r="B4" i="10" s="1"/>
  <c r="B5" i="10" s="1"/>
  <c r="B11" i="9"/>
  <c r="B7" i="9"/>
  <c r="B16" i="11" s="1"/>
  <c r="B6" i="9"/>
  <c r="B5" i="9"/>
  <c r="B4" i="9"/>
  <c r="D91" i="8"/>
  <c r="A91" i="8"/>
  <c r="D90" i="8"/>
  <c r="C90" i="8"/>
  <c r="A90" i="8"/>
  <c r="B90" i="8" s="1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C72" i="8"/>
  <c r="A72" i="8"/>
  <c r="B72" i="8" s="1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B30" i="8"/>
  <c r="A30" i="8"/>
  <c r="C30" i="8" s="1"/>
  <c r="B29" i="8"/>
  <c r="A29" i="8"/>
  <c r="C29" i="8" s="1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I91" i="6"/>
  <c r="I90" i="6"/>
  <c r="B90" i="6"/>
  <c r="E90" i="6" s="1"/>
  <c r="I89" i="6"/>
  <c r="D89" i="8" s="1"/>
  <c r="B89" i="6"/>
  <c r="E89" i="6" s="1"/>
  <c r="I88" i="6"/>
  <c r="D88" i="8" s="1"/>
  <c r="B88" i="6"/>
  <c r="E88" i="6" s="1"/>
  <c r="I87" i="6"/>
  <c r="D87" i="8" s="1"/>
  <c r="C87" i="6"/>
  <c r="F87" i="6" s="1"/>
  <c r="B87" i="6"/>
  <c r="E87" i="6" s="1"/>
  <c r="I86" i="6"/>
  <c r="D86" i="8" s="1"/>
  <c r="C86" i="6"/>
  <c r="F86" i="6" s="1"/>
  <c r="B86" i="6"/>
  <c r="E86" i="6" s="1"/>
  <c r="I85" i="6"/>
  <c r="D85" i="8" s="1"/>
  <c r="C85" i="6"/>
  <c r="F85" i="6" s="1"/>
  <c r="B85" i="6"/>
  <c r="E85" i="6" s="1"/>
  <c r="I84" i="6"/>
  <c r="D84" i="8" s="1"/>
  <c r="C84" i="6"/>
  <c r="F84" i="6" s="1"/>
  <c r="B84" i="6"/>
  <c r="E84" i="6" s="1"/>
  <c r="I83" i="6"/>
  <c r="D83" i="8" s="1"/>
  <c r="C83" i="6"/>
  <c r="F83" i="6" s="1"/>
  <c r="B83" i="6"/>
  <c r="E83" i="6" s="1"/>
  <c r="I82" i="6"/>
  <c r="D82" i="8" s="1"/>
  <c r="C82" i="6"/>
  <c r="F82" i="6" s="1"/>
  <c r="B82" i="6"/>
  <c r="E82" i="6" s="1"/>
  <c r="I81" i="6"/>
  <c r="D81" i="8" s="1"/>
  <c r="C81" i="6"/>
  <c r="F81" i="6" s="1"/>
  <c r="B81" i="6"/>
  <c r="E81" i="6" s="1"/>
  <c r="I80" i="6"/>
  <c r="D80" i="8" s="1"/>
  <c r="C80" i="6"/>
  <c r="F80" i="6" s="1"/>
  <c r="B80" i="6"/>
  <c r="E80" i="6" s="1"/>
  <c r="I79" i="6"/>
  <c r="D79" i="8" s="1"/>
  <c r="C79" i="6"/>
  <c r="F79" i="6" s="1"/>
  <c r="B79" i="6"/>
  <c r="E79" i="6" s="1"/>
  <c r="I78" i="6"/>
  <c r="D78" i="8" s="1"/>
  <c r="C78" i="6"/>
  <c r="F78" i="6" s="1"/>
  <c r="B78" i="6"/>
  <c r="E78" i="6" s="1"/>
  <c r="I77" i="6"/>
  <c r="D77" i="8" s="1"/>
  <c r="C77" i="6"/>
  <c r="F77" i="6" s="1"/>
  <c r="B77" i="6"/>
  <c r="E77" i="6" s="1"/>
  <c r="I76" i="6"/>
  <c r="D76" i="8" s="1"/>
  <c r="C76" i="6"/>
  <c r="F76" i="6" s="1"/>
  <c r="B76" i="6"/>
  <c r="E76" i="6" s="1"/>
  <c r="I75" i="6"/>
  <c r="D75" i="8" s="1"/>
  <c r="C75" i="6"/>
  <c r="F75" i="6" s="1"/>
  <c r="B75" i="6"/>
  <c r="E75" i="6" s="1"/>
  <c r="I74" i="6"/>
  <c r="D74" i="8" s="1"/>
  <c r="C74" i="6"/>
  <c r="F74" i="6" s="1"/>
  <c r="B74" i="6"/>
  <c r="E74" i="6" s="1"/>
  <c r="I73" i="6"/>
  <c r="D73" i="8" s="1"/>
  <c r="C73" i="6"/>
  <c r="F73" i="6" s="1"/>
  <c r="B73" i="6"/>
  <c r="E73" i="6" s="1"/>
  <c r="I72" i="6"/>
  <c r="D72" i="8" s="1"/>
  <c r="C72" i="6"/>
  <c r="F72" i="6" s="1"/>
  <c r="B72" i="6"/>
  <c r="E72" i="6" s="1"/>
  <c r="I71" i="6"/>
  <c r="D71" i="8" s="1"/>
  <c r="C71" i="6"/>
  <c r="F71" i="6" s="1"/>
  <c r="B71" i="6"/>
  <c r="E71" i="6" s="1"/>
  <c r="I70" i="6"/>
  <c r="D70" i="8" s="1"/>
  <c r="C70" i="6"/>
  <c r="F70" i="6" s="1"/>
  <c r="B70" i="6"/>
  <c r="E70" i="6" s="1"/>
  <c r="I69" i="6"/>
  <c r="D69" i="8" s="1"/>
  <c r="C69" i="6"/>
  <c r="F69" i="6" s="1"/>
  <c r="B69" i="6"/>
  <c r="E69" i="6" s="1"/>
  <c r="I68" i="6"/>
  <c r="D68" i="8" s="1"/>
  <c r="C68" i="6"/>
  <c r="F68" i="6" s="1"/>
  <c r="B68" i="6"/>
  <c r="E68" i="6" s="1"/>
  <c r="I67" i="6"/>
  <c r="D67" i="8" s="1"/>
  <c r="C67" i="6"/>
  <c r="F67" i="6" s="1"/>
  <c r="B67" i="6"/>
  <c r="E67" i="6" s="1"/>
  <c r="I66" i="6"/>
  <c r="D66" i="8" s="1"/>
  <c r="C66" i="6"/>
  <c r="F66" i="6" s="1"/>
  <c r="B66" i="6"/>
  <c r="E66" i="6" s="1"/>
  <c r="I65" i="6"/>
  <c r="D65" i="8" s="1"/>
  <c r="C65" i="6"/>
  <c r="F65" i="6" s="1"/>
  <c r="B65" i="6"/>
  <c r="E65" i="6" s="1"/>
  <c r="I64" i="6"/>
  <c r="D64" i="8" s="1"/>
  <c r="C64" i="6"/>
  <c r="F64" i="6" s="1"/>
  <c r="B64" i="6"/>
  <c r="E64" i="6" s="1"/>
  <c r="I63" i="6"/>
  <c r="D63" i="8" s="1"/>
  <c r="C63" i="6"/>
  <c r="F63" i="6" s="1"/>
  <c r="B63" i="6"/>
  <c r="E63" i="6" s="1"/>
  <c r="I62" i="6"/>
  <c r="D62" i="8" s="1"/>
  <c r="C62" i="6"/>
  <c r="F62" i="6" s="1"/>
  <c r="B62" i="6"/>
  <c r="E62" i="6" s="1"/>
  <c r="I61" i="6"/>
  <c r="D61" i="8" s="1"/>
  <c r="C61" i="6"/>
  <c r="F61" i="6" s="1"/>
  <c r="B61" i="6"/>
  <c r="E61" i="6" s="1"/>
  <c r="I60" i="6"/>
  <c r="D60" i="8" s="1"/>
  <c r="C60" i="6"/>
  <c r="F60" i="6" s="1"/>
  <c r="B60" i="6"/>
  <c r="E60" i="6" s="1"/>
  <c r="I59" i="6"/>
  <c r="D59" i="8" s="1"/>
  <c r="C59" i="6"/>
  <c r="F59" i="6" s="1"/>
  <c r="B59" i="6"/>
  <c r="E59" i="6" s="1"/>
  <c r="I58" i="6"/>
  <c r="D58" i="8" s="1"/>
  <c r="C58" i="6"/>
  <c r="F58" i="6" s="1"/>
  <c r="B58" i="6"/>
  <c r="E58" i="6" s="1"/>
  <c r="I57" i="6"/>
  <c r="D57" i="8" s="1"/>
  <c r="F57" i="6"/>
  <c r="E57" i="6"/>
  <c r="C57" i="6"/>
  <c r="B57" i="6"/>
  <c r="I56" i="6"/>
  <c r="D56" i="8" s="1"/>
  <c r="C56" i="6"/>
  <c r="F56" i="6" s="1"/>
  <c r="B56" i="6"/>
  <c r="E56" i="6" s="1"/>
  <c r="I55" i="6"/>
  <c r="D55" i="8" s="1"/>
  <c r="C55" i="6"/>
  <c r="F55" i="6" s="1"/>
  <c r="B55" i="6"/>
  <c r="E55" i="6" s="1"/>
  <c r="I54" i="6"/>
  <c r="D54" i="8" s="1"/>
  <c r="C54" i="6"/>
  <c r="F54" i="6" s="1"/>
  <c r="B54" i="6"/>
  <c r="E54" i="6" s="1"/>
  <c r="I53" i="6"/>
  <c r="D53" i="8" s="1"/>
  <c r="C53" i="6"/>
  <c r="F53" i="6" s="1"/>
  <c r="B53" i="6"/>
  <c r="E53" i="6" s="1"/>
  <c r="I52" i="6"/>
  <c r="D52" i="8" s="1"/>
  <c r="C52" i="6"/>
  <c r="F52" i="6" s="1"/>
  <c r="B52" i="6"/>
  <c r="E52" i="6" s="1"/>
  <c r="I51" i="6"/>
  <c r="D51" i="8" s="1"/>
  <c r="C51" i="6"/>
  <c r="F51" i="6" s="1"/>
  <c r="B51" i="6"/>
  <c r="E51" i="6" s="1"/>
  <c r="I50" i="6"/>
  <c r="D50" i="8" s="1"/>
  <c r="C50" i="6"/>
  <c r="F50" i="6" s="1"/>
  <c r="B50" i="6"/>
  <c r="E50" i="6" s="1"/>
  <c r="I49" i="6"/>
  <c r="D49" i="8" s="1"/>
  <c r="C49" i="6"/>
  <c r="F49" i="6" s="1"/>
  <c r="B49" i="6"/>
  <c r="E49" i="6" s="1"/>
  <c r="I48" i="6"/>
  <c r="D48" i="8" s="1"/>
  <c r="C48" i="6"/>
  <c r="F48" i="6" s="1"/>
  <c r="B48" i="6"/>
  <c r="E48" i="6" s="1"/>
  <c r="I47" i="6"/>
  <c r="D47" i="8" s="1"/>
  <c r="C47" i="6"/>
  <c r="F47" i="6" s="1"/>
  <c r="B47" i="6"/>
  <c r="E47" i="6" s="1"/>
  <c r="I46" i="6"/>
  <c r="D46" i="8" s="1"/>
  <c r="C46" i="6"/>
  <c r="F46" i="6" s="1"/>
  <c r="B46" i="6"/>
  <c r="E46" i="6" s="1"/>
  <c r="I45" i="6"/>
  <c r="D45" i="8" s="1"/>
  <c r="C45" i="6"/>
  <c r="F45" i="6" s="1"/>
  <c r="B45" i="6"/>
  <c r="E45" i="6" s="1"/>
  <c r="I44" i="6"/>
  <c r="D44" i="8" s="1"/>
  <c r="C44" i="6"/>
  <c r="F44" i="6" s="1"/>
  <c r="B44" i="6"/>
  <c r="E44" i="6" s="1"/>
  <c r="I43" i="6"/>
  <c r="D43" i="8" s="1"/>
  <c r="C43" i="6"/>
  <c r="F43" i="6" s="1"/>
  <c r="B43" i="6"/>
  <c r="E43" i="6" s="1"/>
  <c r="I42" i="6"/>
  <c r="D42" i="8" s="1"/>
  <c r="C42" i="6"/>
  <c r="F42" i="6" s="1"/>
  <c r="B42" i="6"/>
  <c r="E42" i="6" s="1"/>
  <c r="I41" i="6"/>
  <c r="D41" i="8" s="1"/>
  <c r="C41" i="6"/>
  <c r="F41" i="6" s="1"/>
  <c r="B41" i="6"/>
  <c r="E41" i="6" s="1"/>
  <c r="I40" i="6"/>
  <c r="D40" i="8" s="1"/>
  <c r="C40" i="6"/>
  <c r="F40" i="6" s="1"/>
  <c r="B40" i="6"/>
  <c r="E40" i="6" s="1"/>
  <c r="I39" i="6"/>
  <c r="D39" i="8" s="1"/>
  <c r="C39" i="6"/>
  <c r="F39" i="6" s="1"/>
  <c r="B39" i="6"/>
  <c r="E39" i="6" s="1"/>
  <c r="I38" i="6"/>
  <c r="D38" i="8" s="1"/>
  <c r="F38" i="6"/>
  <c r="C38" i="6"/>
  <c r="B38" i="6"/>
  <c r="E38" i="6" s="1"/>
  <c r="I37" i="6"/>
  <c r="D37" i="8" s="1"/>
  <c r="C37" i="6"/>
  <c r="F37" i="6" s="1"/>
  <c r="B37" i="6"/>
  <c r="E37" i="6" s="1"/>
  <c r="I36" i="6"/>
  <c r="D36" i="8" s="1"/>
  <c r="C36" i="6"/>
  <c r="F36" i="6" s="1"/>
  <c r="B36" i="6"/>
  <c r="E36" i="6" s="1"/>
  <c r="I35" i="6"/>
  <c r="D35" i="8" s="1"/>
  <c r="C35" i="6"/>
  <c r="F35" i="6" s="1"/>
  <c r="B35" i="6"/>
  <c r="E35" i="6" s="1"/>
  <c r="I34" i="6"/>
  <c r="D34" i="8" s="1"/>
  <c r="C34" i="6"/>
  <c r="F34" i="6" s="1"/>
  <c r="B34" i="6"/>
  <c r="E34" i="6" s="1"/>
  <c r="I33" i="6"/>
  <c r="D33" i="8" s="1"/>
  <c r="C33" i="6"/>
  <c r="F33" i="6" s="1"/>
  <c r="B33" i="6"/>
  <c r="E33" i="6" s="1"/>
  <c r="I32" i="6"/>
  <c r="D32" i="8" s="1"/>
  <c r="C32" i="6"/>
  <c r="F32" i="6" s="1"/>
  <c r="B32" i="6"/>
  <c r="E32" i="6" s="1"/>
  <c r="I31" i="6"/>
  <c r="D31" i="8" s="1"/>
  <c r="C31" i="6"/>
  <c r="F31" i="6" s="1"/>
  <c r="B31" i="6"/>
  <c r="E31" i="6" s="1"/>
  <c r="I30" i="6"/>
  <c r="D30" i="8" s="1"/>
  <c r="C30" i="6"/>
  <c r="F30" i="6" s="1"/>
  <c r="B30" i="6"/>
  <c r="E30" i="6" s="1"/>
  <c r="I29" i="6"/>
  <c r="D29" i="8" s="1"/>
  <c r="C29" i="6"/>
  <c r="F29" i="6" s="1"/>
  <c r="B29" i="6"/>
  <c r="E29" i="6" s="1"/>
  <c r="I28" i="6"/>
  <c r="D28" i="8" s="1"/>
  <c r="C28" i="6"/>
  <c r="F28" i="6" s="1"/>
  <c r="B28" i="6"/>
  <c r="E28" i="6" s="1"/>
  <c r="I27" i="6"/>
  <c r="D27" i="8" s="1"/>
  <c r="C27" i="6"/>
  <c r="F27" i="6" s="1"/>
  <c r="B27" i="6"/>
  <c r="E27" i="6" s="1"/>
  <c r="I26" i="6"/>
  <c r="D26" i="8" s="1"/>
  <c r="C26" i="6"/>
  <c r="F26" i="6" s="1"/>
  <c r="B26" i="6"/>
  <c r="E26" i="6" s="1"/>
  <c r="I25" i="6"/>
  <c r="D25" i="8" s="1"/>
  <c r="C25" i="6"/>
  <c r="F25" i="6" s="1"/>
  <c r="B25" i="6"/>
  <c r="E25" i="6" s="1"/>
  <c r="I24" i="6"/>
  <c r="D24" i="8" s="1"/>
  <c r="C24" i="6"/>
  <c r="F24" i="6" s="1"/>
  <c r="B24" i="6"/>
  <c r="E24" i="6" s="1"/>
  <c r="I23" i="6"/>
  <c r="D23" i="8" s="1"/>
  <c r="C23" i="6"/>
  <c r="F23" i="6" s="1"/>
  <c r="B23" i="6"/>
  <c r="E23" i="6" s="1"/>
  <c r="I22" i="6"/>
  <c r="D22" i="8" s="1"/>
  <c r="C22" i="6"/>
  <c r="F22" i="6" s="1"/>
  <c r="B22" i="6"/>
  <c r="E22" i="6" s="1"/>
  <c r="I21" i="6"/>
  <c r="D21" i="8" s="1"/>
  <c r="C21" i="6"/>
  <c r="F21" i="6" s="1"/>
  <c r="B21" i="6"/>
  <c r="E21" i="6" s="1"/>
  <c r="I20" i="6"/>
  <c r="D20" i="8" s="1"/>
  <c r="C20" i="6"/>
  <c r="F20" i="6" s="1"/>
  <c r="B20" i="6"/>
  <c r="E20" i="6" s="1"/>
  <c r="I19" i="6"/>
  <c r="D19" i="8" s="1"/>
  <c r="C19" i="6"/>
  <c r="F19" i="6" s="1"/>
  <c r="B19" i="6"/>
  <c r="E19" i="6" s="1"/>
  <c r="I18" i="6"/>
  <c r="D18" i="8" s="1"/>
  <c r="C18" i="6"/>
  <c r="F18" i="6" s="1"/>
  <c r="B18" i="6"/>
  <c r="E18" i="6" s="1"/>
  <c r="I17" i="6"/>
  <c r="D17" i="8" s="1"/>
  <c r="C17" i="6"/>
  <c r="F17" i="6" s="1"/>
  <c r="B17" i="6"/>
  <c r="E17" i="6" s="1"/>
  <c r="I16" i="6"/>
  <c r="D16" i="8" s="1"/>
  <c r="C16" i="6"/>
  <c r="F16" i="6" s="1"/>
  <c r="B16" i="6"/>
  <c r="E16" i="6" s="1"/>
  <c r="I15" i="6"/>
  <c r="D15" i="8" s="1"/>
  <c r="C15" i="6"/>
  <c r="F15" i="6" s="1"/>
  <c r="B15" i="6"/>
  <c r="E15" i="6" s="1"/>
  <c r="I14" i="6"/>
  <c r="D14" i="8" s="1"/>
  <c r="C14" i="6"/>
  <c r="F14" i="6" s="1"/>
  <c r="B14" i="6"/>
  <c r="E14" i="6" s="1"/>
  <c r="I13" i="6"/>
  <c r="D13" i="8" s="1"/>
  <c r="C13" i="6"/>
  <c r="F13" i="6" s="1"/>
  <c r="B13" i="6"/>
  <c r="E13" i="6" s="1"/>
  <c r="I12" i="6"/>
  <c r="D12" i="8" s="1"/>
  <c r="C12" i="6"/>
  <c r="F12" i="6" s="1"/>
  <c r="B12" i="6"/>
  <c r="E12" i="6" s="1"/>
  <c r="I11" i="6"/>
  <c r="D11" i="8" s="1"/>
  <c r="C11" i="6"/>
  <c r="F11" i="6" s="1"/>
  <c r="B11" i="6"/>
  <c r="E11" i="6" s="1"/>
  <c r="I10" i="6"/>
  <c r="D10" i="8" s="1"/>
  <c r="C10" i="6"/>
  <c r="F10" i="6" s="1"/>
  <c r="B10" i="6"/>
  <c r="E10" i="6" s="1"/>
  <c r="I9" i="6"/>
  <c r="D9" i="8" s="1"/>
  <c r="C9" i="6"/>
  <c r="F9" i="6" s="1"/>
  <c r="B9" i="6"/>
  <c r="E9" i="6" s="1"/>
  <c r="I8" i="6"/>
  <c r="D8" i="8" s="1"/>
  <c r="C8" i="6"/>
  <c r="F8" i="6" s="1"/>
  <c r="B8" i="6"/>
  <c r="E8" i="6" s="1"/>
  <c r="I7" i="6"/>
  <c r="D7" i="8" s="1"/>
  <c r="C7" i="6"/>
  <c r="F7" i="6" s="1"/>
  <c r="B7" i="6"/>
  <c r="E7" i="6" s="1"/>
  <c r="I6" i="6"/>
  <c r="D6" i="8" s="1"/>
  <c r="D6" i="6"/>
  <c r="G6" i="6" s="1"/>
  <c r="C6" i="6"/>
  <c r="F6" i="6" s="1"/>
  <c r="B6" i="6"/>
  <c r="E6" i="6" s="1"/>
  <c r="H6" i="6" s="1"/>
  <c r="E6" i="8" s="1"/>
  <c r="I5" i="6"/>
  <c r="D5" i="8" s="1"/>
  <c r="D5" i="6"/>
  <c r="G5" i="6" s="1"/>
  <c r="C5" i="6"/>
  <c r="F5" i="6" s="1"/>
  <c r="B5" i="6"/>
  <c r="E5" i="6" s="1"/>
  <c r="I4" i="6"/>
  <c r="D4" i="8" s="1"/>
  <c r="D4" i="6"/>
  <c r="G4" i="6" s="1"/>
  <c r="C4" i="6"/>
  <c r="F4" i="6" s="1"/>
  <c r="B4" i="6"/>
  <c r="E4" i="6" s="1"/>
  <c r="I3" i="6"/>
  <c r="D3" i="8" s="1"/>
  <c r="D3" i="6"/>
  <c r="G3" i="6" s="1"/>
  <c r="C3" i="6"/>
  <c r="F3" i="6" s="1"/>
  <c r="B3" i="6"/>
  <c r="E3" i="6" s="1"/>
  <c r="H3" i="6" s="1"/>
  <c r="E3" i="8" s="1"/>
  <c r="I2" i="6"/>
  <c r="D2" i="8" s="1"/>
  <c r="D2" i="6"/>
  <c r="G2" i="6" s="1"/>
  <c r="C2" i="6"/>
  <c r="F2" i="6" s="1"/>
  <c r="B2" i="6"/>
  <c r="E2" i="6" s="1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C91" i="6" s="1"/>
  <c r="F91" i="6" s="1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91" i="6" s="1"/>
  <c r="E91" i="6" s="1"/>
  <c r="B21" i="11" l="1"/>
  <c r="C11" i="9"/>
  <c r="D11" i="9" s="1"/>
  <c r="B7" i="10"/>
  <c r="B8" i="10" s="1"/>
  <c r="C91" i="8"/>
  <c r="B91" i="8"/>
  <c r="B89" i="8"/>
  <c r="C89" i="8"/>
  <c r="B88" i="8"/>
  <c r="C88" i="8"/>
  <c r="B87" i="8"/>
  <c r="C87" i="8"/>
  <c r="B86" i="8"/>
  <c r="C86" i="8"/>
  <c r="B85" i="8"/>
  <c r="C85" i="8"/>
  <c r="B84" i="8"/>
  <c r="C84" i="8"/>
  <c r="B83" i="8"/>
  <c r="C83" i="8"/>
  <c r="C82" i="8"/>
  <c r="B82" i="8"/>
  <c r="C81" i="8"/>
  <c r="B81" i="8"/>
  <c r="C80" i="8"/>
  <c r="B80" i="8"/>
  <c r="C79" i="8"/>
  <c r="B79" i="8"/>
  <c r="C78" i="8"/>
  <c r="B78" i="8"/>
  <c r="C77" i="8"/>
  <c r="B77" i="8"/>
  <c r="B76" i="8"/>
  <c r="C76" i="8"/>
  <c r="B75" i="8"/>
  <c r="C75" i="8"/>
  <c r="B74" i="8"/>
  <c r="C74" i="8"/>
  <c r="B73" i="8"/>
  <c r="C73" i="8"/>
  <c r="C71" i="8"/>
  <c r="B71" i="8"/>
  <c r="C70" i="8"/>
  <c r="B70" i="8"/>
  <c r="C69" i="8"/>
  <c r="B69" i="8"/>
  <c r="C68" i="8"/>
  <c r="B68" i="8"/>
  <c r="C67" i="8"/>
  <c r="B67" i="8"/>
  <c r="C66" i="8"/>
  <c r="B66" i="8"/>
  <c r="B65" i="8"/>
  <c r="C65" i="8"/>
  <c r="B64" i="8"/>
  <c r="C64" i="8"/>
  <c r="C63" i="8"/>
  <c r="B63" i="8"/>
  <c r="C62" i="8"/>
  <c r="B62" i="8"/>
  <c r="B61" i="8"/>
  <c r="C61" i="8"/>
  <c r="B60" i="8"/>
  <c r="C60" i="8"/>
  <c r="B59" i="8"/>
  <c r="C59" i="8"/>
  <c r="B58" i="8"/>
  <c r="C58" i="8"/>
  <c r="C57" i="8"/>
  <c r="B57" i="8"/>
  <c r="C56" i="8"/>
  <c r="B56" i="8"/>
  <c r="C55" i="8"/>
  <c r="B55" i="8"/>
  <c r="C54" i="8"/>
  <c r="B54" i="8"/>
  <c r="C53" i="8"/>
  <c r="B53" i="8"/>
  <c r="B52" i="8"/>
  <c r="C52" i="8"/>
  <c r="B51" i="8"/>
  <c r="C51" i="8"/>
  <c r="B50" i="8"/>
  <c r="C50" i="8"/>
  <c r="B49" i="8"/>
  <c r="C49" i="8"/>
  <c r="C48" i="8"/>
  <c r="B48" i="8"/>
  <c r="C47" i="8"/>
  <c r="B47" i="8"/>
  <c r="C46" i="8"/>
  <c r="B46" i="8"/>
  <c r="B45" i="8"/>
  <c r="C45" i="8"/>
  <c r="C44" i="8"/>
  <c r="B44" i="8"/>
  <c r="B43" i="8"/>
  <c r="C43" i="8"/>
  <c r="C42" i="8"/>
  <c r="B42" i="8"/>
  <c r="B41" i="8"/>
  <c r="C41" i="8"/>
  <c r="C40" i="8"/>
  <c r="B40" i="8"/>
  <c r="C39" i="8"/>
  <c r="B39" i="8"/>
  <c r="C38" i="8"/>
  <c r="B38" i="8"/>
  <c r="C37" i="8"/>
  <c r="B37" i="8"/>
  <c r="B36" i="8"/>
  <c r="C36" i="8"/>
  <c r="C35" i="8"/>
  <c r="B35" i="8"/>
  <c r="B34" i="8"/>
  <c r="C34" i="8"/>
  <c r="C33" i="8"/>
  <c r="B33" i="8"/>
  <c r="B32" i="8"/>
  <c r="C32" i="8"/>
  <c r="B31" i="8"/>
  <c r="C31" i="8"/>
  <c r="C28" i="8"/>
  <c r="B28" i="8"/>
  <c r="C27" i="8"/>
  <c r="B27" i="8"/>
  <c r="B26" i="8"/>
  <c r="C26" i="8"/>
  <c r="B25" i="8"/>
  <c r="C25" i="8"/>
  <c r="B24" i="8"/>
  <c r="C24" i="8"/>
  <c r="C23" i="8"/>
  <c r="B23" i="8"/>
  <c r="C22" i="8"/>
  <c r="B22" i="8"/>
  <c r="B21" i="8"/>
  <c r="C21" i="8"/>
  <c r="B20" i="8"/>
  <c r="C20" i="8"/>
  <c r="C19" i="8"/>
  <c r="B19" i="8"/>
  <c r="C18" i="8"/>
  <c r="B18" i="8"/>
  <c r="C17" i="8"/>
  <c r="B17" i="8"/>
  <c r="C16" i="8"/>
  <c r="B16" i="8"/>
  <c r="B15" i="8"/>
  <c r="C15" i="8"/>
  <c r="B14" i="8"/>
  <c r="C14" i="8"/>
  <c r="C13" i="8"/>
  <c r="B13" i="8"/>
  <c r="C12" i="8"/>
  <c r="B12" i="8"/>
  <c r="C11" i="8"/>
  <c r="B11" i="8"/>
  <c r="C10" i="8"/>
  <c r="B10" i="8"/>
  <c r="B9" i="8"/>
  <c r="C9" i="8"/>
  <c r="B8" i="8"/>
  <c r="C8" i="8"/>
  <c r="C7" i="8"/>
  <c r="B7" i="8"/>
  <c r="B6" i="8"/>
  <c r="C6" i="8"/>
  <c r="C5" i="8"/>
  <c r="B5" i="8"/>
  <c r="C4" i="8"/>
  <c r="B4" i="8"/>
  <c r="C3" i="8"/>
  <c r="B3" i="8"/>
  <c r="C2" i="8"/>
  <c r="B2" i="8"/>
  <c r="F2" i="8" s="1"/>
  <c r="D53" i="6"/>
  <c r="G53" i="6" s="1"/>
  <c r="H53" i="6" s="1"/>
  <c r="E53" i="8" s="1"/>
  <c r="D45" i="6"/>
  <c r="G45" i="6" s="1"/>
  <c r="H45" i="6" s="1"/>
  <c r="E45" i="8" s="1"/>
  <c r="D54" i="6"/>
  <c r="G54" i="6" s="1"/>
  <c r="H54" i="6" s="1"/>
  <c r="E54" i="8" s="1"/>
  <c r="D43" i="6"/>
  <c r="G43" i="6" s="1"/>
  <c r="H43" i="6" s="1"/>
  <c r="E43" i="8" s="1"/>
  <c r="D26" i="6"/>
  <c r="G26" i="6" s="1"/>
  <c r="H26" i="6" s="1"/>
  <c r="E26" i="8" s="1"/>
  <c r="D20" i="6"/>
  <c r="G20" i="6" s="1"/>
  <c r="H20" i="6" s="1"/>
  <c r="E20" i="8" s="1"/>
  <c r="D15" i="6"/>
  <c r="G15" i="6" s="1"/>
  <c r="H15" i="6" s="1"/>
  <c r="E15" i="8" s="1"/>
  <c r="D87" i="6"/>
  <c r="G87" i="6" s="1"/>
  <c r="H87" i="6" s="1"/>
  <c r="E87" i="8" s="1"/>
  <c r="D89" i="6"/>
  <c r="G89" i="6" s="1"/>
  <c r="D90" i="6"/>
  <c r="G90" i="6" s="1"/>
  <c r="D68" i="6"/>
  <c r="G68" i="6" s="1"/>
  <c r="H68" i="6" s="1"/>
  <c r="E68" i="8" s="1"/>
  <c r="D63" i="6"/>
  <c r="G63" i="6" s="1"/>
  <c r="H63" i="6" s="1"/>
  <c r="E63" i="8" s="1"/>
  <c r="D70" i="6"/>
  <c r="G70" i="6" s="1"/>
  <c r="H70" i="6" s="1"/>
  <c r="E70" i="8" s="1"/>
  <c r="D88" i="6"/>
  <c r="G88" i="6" s="1"/>
  <c r="D78" i="6"/>
  <c r="G78" i="6" s="1"/>
  <c r="H78" i="6" s="1"/>
  <c r="E78" i="8" s="1"/>
  <c r="D24" i="6"/>
  <c r="G24" i="6" s="1"/>
  <c r="H24" i="6" s="1"/>
  <c r="E24" i="8" s="1"/>
  <c r="D46" i="6"/>
  <c r="G46" i="6" s="1"/>
  <c r="H46" i="6" s="1"/>
  <c r="E46" i="8" s="1"/>
  <c r="D49" i="6"/>
  <c r="G49" i="6" s="1"/>
  <c r="H49" i="6" s="1"/>
  <c r="E49" i="8" s="1"/>
  <c r="D58" i="6"/>
  <c r="G58" i="6" s="1"/>
  <c r="H58" i="6" s="1"/>
  <c r="E58" i="8" s="1"/>
  <c r="D62" i="6"/>
  <c r="G62" i="6" s="1"/>
  <c r="H62" i="6" s="1"/>
  <c r="E62" i="8" s="1"/>
  <c r="D66" i="6"/>
  <c r="G66" i="6" s="1"/>
  <c r="H66" i="6" s="1"/>
  <c r="E66" i="8" s="1"/>
  <c r="D71" i="6"/>
  <c r="G71" i="6" s="1"/>
  <c r="H71" i="6" s="1"/>
  <c r="E71" i="8" s="1"/>
  <c r="D76" i="6"/>
  <c r="G76" i="6" s="1"/>
  <c r="H76" i="6" s="1"/>
  <c r="E76" i="8" s="1"/>
  <c r="D86" i="6"/>
  <c r="G86" i="6" s="1"/>
  <c r="H86" i="6" s="1"/>
  <c r="E86" i="8" s="1"/>
  <c r="D91" i="6"/>
  <c r="G91" i="6" s="1"/>
  <c r="H91" i="6" s="1"/>
  <c r="E91" i="8" s="1"/>
  <c r="D50" i="6"/>
  <c r="G50" i="6" s="1"/>
  <c r="H50" i="6" s="1"/>
  <c r="E50" i="8" s="1"/>
  <c r="D31" i="6"/>
  <c r="G31" i="6" s="1"/>
  <c r="H31" i="6" s="1"/>
  <c r="E31" i="8" s="1"/>
  <c r="D51" i="6"/>
  <c r="G51" i="6" s="1"/>
  <c r="H51" i="6" s="1"/>
  <c r="E51" i="8" s="1"/>
  <c r="D35" i="6"/>
  <c r="G35" i="6" s="1"/>
  <c r="H35" i="6" s="1"/>
  <c r="E35" i="8" s="1"/>
  <c r="D82" i="6"/>
  <c r="G82" i="6" s="1"/>
  <c r="H82" i="6" s="1"/>
  <c r="E82" i="8" s="1"/>
  <c r="D60" i="6"/>
  <c r="G60" i="6" s="1"/>
  <c r="H60" i="6" s="1"/>
  <c r="E60" i="8" s="1"/>
  <c r="D64" i="6"/>
  <c r="G64" i="6" s="1"/>
  <c r="H64" i="6" s="1"/>
  <c r="E64" i="8" s="1"/>
  <c r="D19" i="6"/>
  <c r="G19" i="6" s="1"/>
  <c r="H19" i="6" s="1"/>
  <c r="E19" i="8" s="1"/>
  <c r="D37" i="6"/>
  <c r="G37" i="6" s="1"/>
  <c r="H37" i="6" s="1"/>
  <c r="E37" i="8" s="1"/>
  <c r="D75" i="6"/>
  <c r="G75" i="6" s="1"/>
  <c r="H75" i="6" s="1"/>
  <c r="E75" i="8" s="1"/>
  <c r="D32" i="6"/>
  <c r="G32" i="6" s="1"/>
  <c r="H32" i="6" s="1"/>
  <c r="E32" i="8" s="1"/>
  <c r="D36" i="6"/>
  <c r="G36" i="6" s="1"/>
  <c r="H36" i="6" s="1"/>
  <c r="E36" i="8" s="1"/>
  <c r="D41" i="6"/>
  <c r="G41" i="6" s="1"/>
  <c r="H41" i="6" s="1"/>
  <c r="E41" i="8" s="1"/>
  <c r="D57" i="6"/>
  <c r="G57" i="6" s="1"/>
  <c r="H57" i="6" s="1"/>
  <c r="E57" i="8" s="1"/>
  <c r="D10" i="6"/>
  <c r="G10" i="6" s="1"/>
  <c r="H10" i="6" s="1"/>
  <c r="E10" i="8" s="1"/>
  <c r="D74" i="6"/>
  <c r="G74" i="6" s="1"/>
  <c r="H74" i="6" s="1"/>
  <c r="E74" i="8" s="1"/>
  <c r="D85" i="6"/>
  <c r="G85" i="6" s="1"/>
  <c r="H85" i="6" s="1"/>
  <c r="E85" i="8" s="1"/>
  <c r="D81" i="6"/>
  <c r="G81" i="6" s="1"/>
  <c r="H81" i="6" s="1"/>
  <c r="E81" i="8" s="1"/>
  <c r="D55" i="6"/>
  <c r="G55" i="6" s="1"/>
  <c r="H55" i="6" s="1"/>
  <c r="E55" i="8" s="1"/>
  <c r="D67" i="6"/>
  <c r="G67" i="6" s="1"/>
  <c r="H67" i="6" s="1"/>
  <c r="E67" i="8" s="1"/>
  <c r="D48" i="6"/>
  <c r="G48" i="6" s="1"/>
  <c r="H48" i="6" s="1"/>
  <c r="E48" i="8" s="1"/>
  <c r="D42" i="6"/>
  <c r="G42" i="6" s="1"/>
  <c r="H42" i="6" s="1"/>
  <c r="E42" i="8" s="1"/>
  <c r="D77" i="6"/>
  <c r="G77" i="6" s="1"/>
  <c r="H77" i="6" s="1"/>
  <c r="E77" i="8" s="1"/>
  <c r="D79" i="6"/>
  <c r="G79" i="6" s="1"/>
  <c r="H79" i="6" s="1"/>
  <c r="E79" i="8" s="1"/>
  <c r="D34" i="6"/>
  <c r="G34" i="6" s="1"/>
  <c r="H34" i="6" s="1"/>
  <c r="E34" i="8" s="1"/>
  <c r="D21" i="6"/>
  <c r="G21" i="6" s="1"/>
  <c r="H21" i="6" s="1"/>
  <c r="E21" i="8" s="1"/>
  <c r="D73" i="6"/>
  <c r="G73" i="6" s="1"/>
  <c r="H73" i="6" s="1"/>
  <c r="E73" i="8" s="1"/>
  <c r="D8" i="6"/>
  <c r="G8" i="6" s="1"/>
  <c r="H8" i="6" s="1"/>
  <c r="E8" i="8" s="1"/>
  <c r="D22" i="6"/>
  <c r="G22" i="6" s="1"/>
  <c r="H22" i="6" s="1"/>
  <c r="E22" i="8" s="1"/>
  <c r="D44" i="6"/>
  <c r="G44" i="6" s="1"/>
  <c r="H44" i="6" s="1"/>
  <c r="E44" i="8" s="1"/>
  <c r="D52" i="6"/>
  <c r="G52" i="6" s="1"/>
  <c r="H52" i="6" s="1"/>
  <c r="E52" i="8" s="1"/>
  <c r="D18" i="6"/>
  <c r="G18" i="6" s="1"/>
  <c r="H18" i="6" s="1"/>
  <c r="E18" i="8" s="1"/>
  <c r="D11" i="6"/>
  <c r="G11" i="6" s="1"/>
  <c r="H11" i="6" s="1"/>
  <c r="E11" i="8" s="1"/>
  <c r="D39" i="6"/>
  <c r="G39" i="6" s="1"/>
  <c r="H39" i="6" s="1"/>
  <c r="E39" i="8" s="1"/>
  <c r="D30" i="6"/>
  <c r="G30" i="6" s="1"/>
  <c r="H30" i="6" s="1"/>
  <c r="E30" i="8" s="1"/>
  <c r="D23" i="6"/>
  <c r="G23" i="6" s="1"/>
  <c r="H23" i="6" s="1"/>
  <c r="E23" i="8" s="1"/>
  <c r="D14" i="6"/>
  <c r="G14" i="6" s="1"/>
  <c r="H14" i="6" s="1"/>
  <c r="E14" i="8" s="1"/>
  <c r="D56" i="6"/>
  <c r="G56" i="6" s="1"/>
  <c r="H56" i="6" s="1"/>
  <c r="E56" i="8" s="1"/>
  <c r="D40" i="6"/>
  <c r="G40" i="6" s="1"/>
  <c r="H40" i="6" s="1"/>
  <c r="E40" i="8" s="1"/>
  <c r="D9" i="6"/>
  <c r="G9" i="6" s="1"/>
  <c r="H9" i="6" s="1"/>
  <c r="E9" i="8" s="1"/>
  <c r="D80" i="6"/>
  <c r="G80" i="6" s="1"/>
  <c r="H80" i="6" s="1"/>
  <c r="E80" i="8" s="1"/>
  <c r="D84" i="6"/>
  <c r="G84" i="6" s="1"/>
  <c r="H84" i="6" s="1"/>
  <c r="E84" i="8" s="1"/>
  <c r="D38" i="6"/>
  <c r="G38" i="6" s="1"/>
  <c r="H38" i="6" s="1"/>
  <c r="E38" i="8" s="1"/>
  <c r="D29" i="6"/>
  <c r="G29" i="6" s="1"/>
  <c r="H29" i="6" s="1"/>
  <c r="E29" i="8" s="1"/>
  <c r="D72" i="6"/>
  <c r="G72" i="6" s="1"/>
  <c r="H72" i="6" s="1"/>
  <c r="E72" i="8" s="1"/>
  <c r="D27" i="6"/>
  <c r="G27" i="6" s="1"/>
  <c r="H27" i="6" s="1"/>
  <c r="E27" i="8" s="1"/>
  <c r="D16" i="6"/>
  <c r="G16" i="6" s="1"/>
  <c r="H16" i="6" s="1"/>
  <c r="E16" i="8" s="1"/>
  <c r="D12" i="6"/>
  <c r="G12" i="6" s="1"/>
  <c r="H12" i="6" s="1"/>
  <c r="E12" i="8" s="1"/>
  <c r="D17" i="6"/>
  <c r="G17" i="6" s="1"/>
  <c r="H17" i="6" s="1"/>
  <c r="E17" i="8" s="1"/>
  <c r="D61" i="6"/>
  <c r="G61" i="6" s="1"/>
  <c r="H61" i="6" s="1"/>
  <c r="E61" i="8" s="1"/>
  <c r="D28" i="6"/>
  <c r="G28" i="6" s="1"/>
  <c r="H28" i="6" s="1"/>
  <c r="E28" i="8" s="1"/>
  <c r="D47" i="6"/>
  <c r="G47" i="6" s="1"/>
  <c r="H47" i="6" s="1"/>
  <c r="E47" i="8" s="1"/>
  <c r="D83" i="6"/>
  <c r="G83" i="6" s="1"/>
  <c r="H83" i="6" s="1"/>
  <c r="E83" i="8" s="1"/>
  <c r="D7" i="6"/>
  <c r="G7" i="6" s="1"/>
  <c r="H7" i="6" s="1"/>
  <c r="E7" i="8" s="1"/>
  <c r="D33" i="6"/>
  <c r="G33" i="6" s="1"/>
  <c r="H33" i="6" s="1"/>
  <c r="E33" i="8" s="1"/>
  <c r="D25" i="6"/>
  <c r="G25" i="6" s="1"/>
  <c r="H25" i="6" s="1"/>
  <c r="E25" i="8" s="1"/>
  <c r="D69" i="6"/>
  <c r="G69" i="6" s="1"/>
  <c r="H69" i="6" s="1"/>
  <c r="E69" i="8" s="1"/>
  <c r="D13" i="6"/>
  <c r="G13" i="6" s="1"/>
  <c r="H13" i="6" s="1"/>
  <c r="E13" i="8" s="1"/>
  <c r="D59" i="6"/>
  <c r="G59" i="6" s="1"/>
  <c r="H59" i="6" s="1"/>
  <c r="E59" i="8" s="1"/>
  <c r="D65" i="6"/>
  <c r="G65" i="6" s="1"/>
  <c r="H65" i="6" s="1"/>
  <c r="E65" i="8" s="1"/>
  <c r="C88" i="6"/>
  <c r="F88" i="6" s="1"/>
  <c r="H88" i="6" s="1"/>
  <c r="E88" i="8" s="1"/>
  <c r="C90" i="6"/>
  <c r="F90" i="6" s="1"/>
  <c r="H90" i="6" s="1"/>
  <c r="E90" i="8" s="1"/>
  <c r="C89" i="6"/>
  <c r="F89" i="6" s="1"/>
  <c r="H89" i="6" s="1"/>
  <c r="E89" i="8" s="1"/>
  <c r="H4" i="6"/>
  <c r="E4" i="8" s="1"/>
  <c r="H2" i="6"/>
  <c r="E2" i="8" s="1"/>
  <c r="H5" i="6"/>
  <c r="E5" i="8" s="1"/>
  <c r="B12" i="9" l="1"/>
  <c r="C12" i="9" s="1"/>
  <c r="D12" i="9" s="1"/>
  <c r="B10" i="10"/>
  <c r="B9" i="10"/>
  <c r="G2" i="8"/>
  <c r="H2" i="8"/>
  <c r="I2" i="8"/>
  <c r="J2" i="8"/>
  <c r="L2" i="8"/>
  <c r="F3" i="8"/>
  <c r="B13" i="9" l="1"/>
  <c r="C13" i="9" s="1"/>
  <c r="D13" i="9"/>
  <c r="K2" i="8"/>
  <c r="M2" i="8"/>
  <c r="G3" i="8"/>
  <c r="F4" i="8"/>
  <c r="L3" i="8"/>
  <c r="J3" i="8"/>
  <c r="I3" i="8"/>
  <c r="H3" i="8"/>
  <c r="K3" i="8" l="1"/>
  <c r="M3" i="8"/>
  <c r="G4" i="8"/>
  <c r="H4" i="8"/>
  <c r="I4" i="8"/>
  <c r="J4" i="8"/>
  <c r="L4" i="8"/>
  <c r="F5" i="8"/>
  <c r="K4" i="8" l="1"/>
  <c r="M4" i="8"/>
  <c r="G5" i="8"/>
  <c r="H5" i="8"/>
  <c r="I5" i="8"/>
  <c r="J5" i="8"/>
  <c r="L5" i="8"/>
  <c r="F6" i="8"/>
  <c r="K5" i="8" l="1"/>
  <c r="M5" i="8"/>
  <c r="G6" i="8"/>
  <c r="H6" i="8"/>
  <c r="I6" i="8"/>
  <c r="J6" i="8"/>
  <c r="L6" i="8"/>
  <c r="F7" i="8"/>
  <c r="K6" i="8" l="1"/>
  <c r="M6" i="8"/>
  <c r="G7" i="8"/>
  <c r="H7" i="8"/>
  <c r="I7" i="8"/>
  <c r="J7" i="8"/>
  <c r="L7" i="8"/>
  <c r="F8" i="8"/>
  <c r="B4" i="11"/>
  <c r="K7" i="8" l="1"/>
  <c r="M7" i="8"/>
  <c r="G8" i="8"/>
  <c r="H8" i="8"/>
  <c r="B22" i="11" s="1"/>
  <c r="I8" i="8"/>
  <c r="J8" i="8"/>
  <c r="B29" i="11" s="1"/>
  <c r="L8" i="8"/>
  <c r="B17" i="11" s="1"/>
  <c r="F9" i="8"/>
  <c r="B5" i="11"/>
  <c r="K8" i="8" l="1"/>
  <c r="B24" i="11" s="1"/>
  <c r="M8" i="8"/>
  <c r="B19" i="11" s="1"/>
  <c r="G9" i="8"/>
  <c r="B30" i="11"/>
  <c r="B11" i="11"/>
  <c r="B7" i="11"/>
  <c r="H9" i="8"/>
  <c r="I9" i="8"/>
  <c r="J9" i="8"/>
  <c r="L9" i="8"/>
  <c r="F10" i="8"/>
  <c r="K9" i="8" l="1"/>
  <c r="M9" i="8"/>
  <c r="G10" i="8"/>
  <c r="H10" i="8"/>
  <c r="I10" i="8"/>
  <c r="J10" i="8"/>
  <c r="L10" i="8"/>
  <c r="F11" i="8"/>
  <c r="B6" i="11"/>
  <c r="K10" i="8" l="1"/>
  <c r="M10" i="8"/>
  <c r="G11" i="8"/>
  <c r="H11" i="8"/>
  <c r="I11" i="8"/>
  <c r="J11" i="8"/>
  <c r="L11" i="8"/>
  <c r="F12" i="8"/>
  <c r="K11" i="8" l="1"/>
  <c r="M11" i="8"/>
  <c r="G12" i="8"/>
  <c r="H12" i="8"/>
  <c r="I12" i="8"/>
  <c r="J12" i="8"/>
  <c r="L12" i="8"/>
  <c r="F13" i="8"/>
  <c r="K12" i="8" l="1"/>
  <c r="M12" i="8"/>
  <c r="G13" i="8"/>
  <c r="H13" i="8"/>
  <c r="I13" i="8"/>
  <c r="J13" i="8"/>
  <c r="L13" i="8"/>
  <c r="F14" i="8"/>
  <c r="K13" i="8" l="1"/>
  <c r="M13" i="8"/>
  <c r="G14" i="8"/>
  <c r="H14" i="8"/>
  <c r="I14" i="8"/>
  <c r="J14" i="8"/>
  <c r="L14" i="8"/>
  <c r="F15" i="8"/>
  <c r="K14" i="8" l="1"/>
  <c r="M14" i="8"/>
  <c r="G15" i="8"/>
  <c r="H15" i="8"/>
  <c r="I15" i="8"/>
  <c r="J15" i="8"/>
  <c r="L15" i="8"/>
  <c r="F16" i="8"/>
  <c r="K15" i="8" l="1"/>
  <c r="M15" i="8"/>
  <c r="G16" i="8"/>
  <c r="H16" i="8"/>
  <c r="I16" i="8"/>
  <c r="J16" i="8"/>
  <c r="L16" i="8"/>
  <c r="F17" i="8"/>
  <c r="K16" i="8" l="1"/>
  <c r="M16" i="8"/>
  <c r="G17" i="8"/>
  <c r="H17" i="8"/>
  <c r="I17" i="8"/>
  <c r="J17" i="8"/>
  <c r="L17" i="8"/>
  <c r="F18" i="8"/>
  <c r="K17" i="8" l="1"/>
  <c r="M17" i="8"/>
  <c r="G18" i="8"/>
  <c r="H18" i="8"/>
  <c r="I18" i="8"/>
  <c r="J18" i="8"/>
  <c r="L18" i="8"/>
  <c r="F19" i="8"/>
  <c r="K18" i="8" l="1"/>
  <c r="M18" i="8"/>
  <c r="G19" i="8"/>
  <c r="H19" i="8"/>
  <c r="I19" i="8"/>
  <c r="J19" i="8"/>
  <c r="L19" i="8"/>
  <c r="F20" i="8"/>
  <c r="K19" i="8" l="1"/>
  <c r="M19" i="8"/>
  <c r="G20" i="8"/>
  <c r="H20" i="8"/>
  <c r="I20" i="8"/>
  <c r="J20" i="8"/>
  <c r="L20" i="8"/>
  <c r="F21" i="8"/>
  <c r="K20" i="8" l="1"/>
  <c r="M20" i="8"/>
  <c r="G21" i="8"/>
  <c r="H21" i="8"/>
  <c r="I21" i="8"/>
  <c r="J21" i="8"/>
  <c r="L21" i="8"/>
  <c r="F22" i="8"/>
  <c r="K21" i="8" l="1"/>
  <c r="M21" i="8"/>
  <c r="G22" i="8"/>
  <c r="H22" i="8"/>
  <c r="I22" i="8"/>
  <c r="J22" i="8"/>
  <c r="L22" i="8"/>
  <c r="F23" i="8"/>
  <c r="K22" i="8" l="1"/>
  <c r="M22" i="8"/>
  <c r="G23" i="8"/>
  <c r="H23" i="8"/>
  <c r="I23" i="8"/>
  <c r="J23" i="8"/>
  <c r="L23" i="8"/>
  <c r="F24" i="8"/>
  <c r="K23" i="8" l="1"/>
  <c r="M23" i="8"/>
  <c r="G24" i="8"/>
  <c r="H24" i="8"/>
  <c r="I24" i="8"/>
  <c r="J24" i="8"/>
  <c r="L24" i="8"/>
  <c r="F25" i="8"/>
  <c r="K24" i="8" l="1"/>
  <c r="M24" i="8"/>
  <c r="G25" i="8"/>
  <c r="H25" i="8"/>
  <c r="I25" i="8"/>
  <c r="J25" i="8"/>
  <c r="L25" i="8"/>
  <c r="F26" i="8"/>
  <c r="K25" i="8" l="1"/>
  <c r="M25" i="8"/>
  <c r="G26" i="8"/>
  <c r="H26" i="8"/>
  <c r="I26" i="8"/>
  <c r="J26" i="8"/>
  <c r="L26" i="8"/>
  <c r="F27" i="8"/>
  <c r="K26" i="8" l="1"/>
  <c r="M26" i="8"/>
  <c r="G27" i="8"/>
  <c r="H27" i="8"/>
  <c r="I27" i="8"/>
  <c r="J27" i="8"/>
  <c r="L27" i="8"/>
  <c r="F28" i="8"/>
  <c r="K27" i="8" l="1"/>
  <c r="M27" i="8"/>
  <c r="G28" i="8"/>
  <c r="H28" i="8"/>
  <c r="I28" i="8"/>
  <c r="J28" i="8"/>
  <c r="L28" i="8"/>
  <c r="F29" i="8"/>
  <c r="K28" i="8" l="1"/>
  <c r="M28" i="8"/>
  <c r="G29" i="8"/>
  <c r="H29" i="8"/>
  <c r="J29" i="8"/>
  <c r="I29" i="8"/>
  <c r="L29" i="8"/>
  <c r="F30" i="8"/>
  <c r="K29" i="8" l="1"/>
  <c r="M29" i="8"/>
  <c r="G30" i="8"/>
  <c r="I30" i="8"/>
  <c r="F31" i="8"/>
  <c r="J30" i="8"/>
  <c r="L30" i="8"/>
  <c r="H30" i="8"/>
  <c r="G31" i="8" l="1"/>
  <c r="K30" i="8"/>
  <c r="M30" i="8"/>
  <c r="H31" i="8"/>
  <c r="J31" i="8"/>
  <c r="F32" i="8"/>
  <c r="I31" i="8"/>
  <c r="L31" i="8"/>
  <c r="K31" i="8" l="1"/>
  <c r="M31" i="8"/>
  <c r="G32" i="8"/>
  <c r="H32" i="8"/>
  <c r="J32" i="8"/>
  <c r="I32" i="8"/>
  <c r="F33" i="8"/>
  <c r="L32" i="8"/>
  <c r="M32" i="8" l="1"/>
  <c r="K32" i="8"/>
  <c r="G33" i="8"/>
  <c r="H33" i="8"/>
  <c r="I33" i="8"/>
  <c r="J33" i="8"/>
  <c r="L33" i="8"/>
  <c r="B18" i="11" s="1"/>
  <c r="F34" i="8"/>
  <c r="K33" i="8" l="1"/>
  <c r="M33" i="8"/>
  <c r="G34" i="8"/>
  <c r="H34" i="8"/>
  <c r="I34" i="8"/>
  <c r="J34" i="8"/>
  <c r="L34" i="8"/>
  <c r="F35" i="8"/>
  <c r="K34" i="8" l="1"/>
  <c r="M34" i="8"/>
  <c r="G35" i="8"/>
  <c r="H35" i="8"/>
  <c r="I35" i="8"/>
  <c r="J35" i="8"/>
  <c r="L35" i="8"/>
  <c r="F36" i="8"/>
  <c r="K35" i="8" l="1"/>
  <c r="M35" i="8"/>
  <c r="G36" i="8"/>
  <c r="H36" i="8"/>
  <c r="I36" i="8"/>
  <c r="J36" i="8"/>
  <c r="L36" i="8"/>
  <c r="F37" i="8"/>
  <c r="K36" i="8" l="1"/>
  <c r="M36" i="8"/>
  <c r="G37" i="8"/>
  <c r="H37" i="8"/>
  <c r="I37" i="8"/>
  <c r="J37" i="8"/>
  <c r="F38" i="8"/>
  <c r="L37" i="8"/>
  <c r="K37" i="8" l="1"/>
  <c r="M37" i="8"/>
  <c r="G38" i="8"/>
  <c r="H38" i="8"/>
  <c r="I38" i="8"/>
  <c r="J38" i="8"/>
  <c r="L38" i="8"/>
  <c r="F39" i="8"/>
  <c r="K38" i="8" l="1"/>
  <c r="M38" i="8"/>
  <c r="G39" i="8"/>
  <c r="H39" i="8"/>
  <c r="I39" i="8"/>
  <c r="J39" i="8"/>
  <c r="L39" i="8"/>
  <c r="F40" i="8"/>
  <c r="K39" i="8" l="1"/>
  <c r="M39" i="8"/>
  <c r="G40" i="8"/>
  <c r="H40" i="8"/>
  <c r="I40" i="8"/>
  <c r="J40" i="8"/>
  <c r="L40" i="8"/>
  <c r="F41" i="8"/>
  <c r="K40" i="8" l="1"/>
  <c r="M40" i="8"/>
  <c r="G41" i="8"/>
  <c r="H41" i="8"/>
  <c r="I41" i="8"/>
  <c r="J41" i="8"/>
  <c r="L41" i="8"/>
  <c r="F42" i="8"/>
  <c r="K41" i="8" l="1"/>
  <c r="M41" i="8"/>
  <c r="G42" i="8"/>
  <c r="H42" i="8"/>
  <c r="I42" i="8"/>
  <c r="J42" i="8"/>
  <c r="L42" i="8"/>
  <c r="F43" i="8"/>
  <c r="K42" i="8" l="1"/>
  <c r="M42" i="8"/>
  <c r="G43" i="8"/>
  <c r="H43" i="8"/>
  <c r="I43" i="8"/>
  <c r="J43" i="8"/>
  <c r="L43" i="8"/>
  <c r="F44" i="8"/>
  <c r="K43" i="8" l="1"/>
  <c r="M43" i="8"/>
  <c r="G44" i="8"/>
  <c r="H44" i="8"/>
  <c r="I44" i="8"/>
  <c r="J44" i="8"/>
  <c r="L44" i="8"/>
  <c r="F45" i="8"/>
  <c r="K44" i="8" l="1"/>
  <c r="M44" i="8"/>
  <c r="G45" i="8"/>
  <c r="H45" i="8"/>
  <c r="I45" i="8"/>
  <c r="J45" i="8"/>
  <c r="L45" i="8"/>
  <c r="F46" i="8"/>
  <c r="K45" i="8" l="1"/>
  <c r="M45" i="8"/>
  <c r="G46" i="8"/>
  <c r="H46" i="8"/>
  <c r="I46" i="8"/>
  <c r="J46" i="8"/>
  <c r="L46" i="8"/>
  <c r="F47" i="8"/>
  <c r="K46" i="8" l="1"/>
  <c r="M46" i="8"/>
  <c r="G47" i="8"/>
  <c r="H47" i="8"/>
  <c r="I47" i="8"/>
  <c r="J47" i="8"/>
  <c r="L47" i="8"/>
  <c r="F48" i="8"/>
  <c r="K47" i="8" l="1"/>
  <c r="M47" i="8"/>
  <c r="G48" i="8"/>
  <c r="H48" i="8"/>
  <c r="I48" i="8"/>
  <c r="J48" i="8"/>
  <c r="L48" i="8"/>
  <c r="F49" i="8"/>
  <c r="K48" i="8" l="1"/>
  <c r="M48" i="8"/>
  <c r="G49" i="8"/>
  <c r="H49" i="8"/>
  <c r="I49" i="8"/>
  <c r="J49" i="8"/>
  <c r="L49" i="8"/>
  <c r="F50" i="8"/>
  <c r="K49" i="8" l="1"/>
  <c r="M49" i="8"/>
  <c r="G50" i="8"/>
  <c r="H50" i="8"/>
  <c r="I50" i="8"/>
  <c r="J50" i="8"/>
  <c r="L50" i="8"/>
  <c r="F51" i="8"/>
  <c r="K50" i="8" l="1"/>
  <c r="M50" i="8"/>
  <c r="G51" i="8"/>
  <c r="H51" i="8"/>
  <c r="I51" i="8"/>
  <c r="J51" i="8"/>
  <c r="L51" i="8"/>
  <c r="F52" i="8"/>
  <c r="K51" i="8" l="1"/>
  <c r="M51" i="8"/>
  <c r="G52" i="8"/>
  <c r="H52" i="8"/>
  <c r="I52" i="8"/>
  <c r="J52" i="8"/>
  <c r="L52" i="8"/>
  <c r="F53" i="8"/>
  <c r="K52" i="8" l="1"/>
  <c r="M52" i="8"/>
  <c r="G53" i="8"/>
  <c r="H53" i="8"/>
  <c r="I53" i="8"/>
  <c r="J53" i="8"/>
  <c r="L53" i="8"/>
  <c r="F54" i="8"/>
  <c r="K53" i="8" l="1"/>
  <c r="M53" i="8"/>
  <c r="G54" i="8"/>
  <c r="H54" i="8"/>
  <c r="I54" i="8"/>
  <c r="J54" i="8"/>
  <c r="L54" i="8"/>
  <c r="F55" i="8"/>
  <c r="K54" i="8" l="1"/>
  <c r="M54" i="8"/>
  <c r="G55" i="8"/>
  <c r="H55" i="8"/>
  <c r="I55" i="8"/>
  <c r="J55" i="8"/>
  <c r="L55" i="8"/>
  <c r="F56" i="8"/>
  <c r="K55" i="8" l="1"/>
  <c r="M55" i="8"/>
  <c r="G56" i="8"/>
  <c r="H56" i="8"/>
  <c r="I56" i="8"/>
  <c r="J56" i="8"/>
  <c r="L56" i="8"/>
  <c r="F57" i="8"/>
  <c r="K56" i="8" l="1"/>
  <c r="M56" i="8"/>
  <c r="G57" i="8"/>
  <c r="H57" i="8"/>
  <c r="I57" i="8"/>
  <c r="J57" i="8"/>
  <c r="L57" i="8"/>
  <c r="F58" i="8"/>
  <c r="K57" i="8" l="1"/>
  <c r="M57" i="8"/>
  <c r="G58" i="8"/>
  <c r="H58" i="8"/>
  <c r="I58" i="8"/>
  <c r="J58" i="8"/>
  <c r="L58" i="8"/>
  <c r="F59" i="8"/>
  <c r="K58" i="8" l="1"/>
  <c r="M58" i="8"/>
  <c r="G59" i="8"/>
  <c r="H59" i="8"/>
  <c r="I59" i="8"/>
  <c r="J59" i="8"/>
  <c r="L59" i="8"/>
  <c r="F60" i="8"/>
  <c r="K59" i="8" l="1"/>
  <c r="M59" i="8"/>
  <c r="G60" i="8"/>
  <c r="H60" i="8"/>
  <c r="I60" i="8"/>
  <c r="J60" i="8"/>
  <c r="L60" i="8"/>
  <c r="F61" i="8"/>
  <c r="K60" i="8" l="1"/>
  <c r="M60" i="8"/>
  <c r="G61" i="8"/>
  <c r="H61" i="8"/>
  <c r="I61" i="8"/>
  <c r="J61" i="8"/>
  <c r="L61" i="8"/>
  <c r="F62" i="8"/>
  <c r="K61" i="8" l="1"/>
  <c r="M61" i="8"/>
  <c r="G62" i="8"/>
  <c r="H62" i="8"/>
  <c r="I62" i="8"/>
  <c r="J62" i="8"/>
  <c r="L62" i="8"/>
  <c r="F63" i="8"/>
  <c r="K62" i="8" l="1"/>
  <c r="M62" i="8"/>
  <c r="G63" i="8"/>
  <c r="H63" i="8"/>
  <c r="I63" i="8"/>
  <c r="J63" i="8"/>
  <c r="L63" i="8"/>
  <c r="F64" i="8"/>
  <c r="K63" i="8" l="1"/>
  <c r="M63" i="8"/>
  <c r="G64" i="8"/>
  <c r="H64" i="8"/>
  <c r="I64" i="8"/>
  <c r="J64" i="8"/>
  <c r="L64" i="8"/>
  <c r="F65" i="8"/>
  <c r="K64" i="8" l="1"/>
  <c r="M64" i="8"/>
  <c r="G65" i="8"/>
  <c r="H65" i="8"/>
  <c r="I65" i="8"/>
  <c r="J65" i="8"/>
  <c r="L65" i="8"/>
  <c r="F66" i="8"/>
  <c r="K65" i="8" l="1"/>
  <c r="M65" i="8"/>
  <c r="G66" i="8"/>
  <c r="H66" i="8"/>
  <c r="I66" i="8"/>
  <c r="J66" i="8"/>
  <c r="L66" i="8"/>
  <c r="F67" i="8"/>
  <c r="K66" i="8" l="1"/>
  <c r="M66" i="8"/>
  <c r="G67" i="8"/>
  <c r="H67" i="8"/>
  <c r="I67" i="8"/>
  <c r="J67" i="8"/>
  <c r="L67" i="8"/>
  <c r="F68" i="8"/>
  <c r="K67" i="8" l="1"/>
  <c r="M67" i="8"/>
  <c r="G68" i="8"/>
  <c r="H68" i="8"/>
  <c r="I68" i="8"/>
  <c r="J68" i="8"/>
  <c r="L68" i="8"/>
  <c r="F69" i="8"/>
  <c r="K68" i="8" l="1"/>
  <c r="M68" i="8"/>
  <c r="G69" i="8"/>
  <c r="H69" i="8"/>
  <c r="I69" i="8"/>
  <c r="J69" i="8"/>
  <c r="L69" i="8"/>
  <c r="F70" i="8"/>
  <c r="K69" i="8" l="1"/>
  <c r="M69" i="8"/>
  <c r="G70" i="8"/>
  <c r="H70" i="8"/>
  <c r="I70" i="8"/>
  <c r="J70" i="8"/>
  <c r="L70" i="8"/>
  <c r="F71" i="8"/>
  <c r="K70" i="8" l="1"/>
  <c r="M70" i="8"/>
  <c r="G71" i="8"/>
  <c r="H71" i="8"/>
  <c r="I71" i="8"/>
  <c r="J71" i="8"/>
  <c r="L71" i="8"/>
  <c r="F72" i="8"/>
  <c r="K71" i="8" l="1"/>
  <c r="M71" i="8"/>
  <c r="G72" i="8"/>
  <c r="H72" i="8"/>
  <c r="I72" i="8"/>
  <c r="J72" i="8"/>
  <c r="L72" i="8"/>
  <c r="F73" i="8"/>
  <c r="K72" i="8" l="1"/>
  <c r="M72" i="8"/>
  <c r="G73" i="8"/>
  <c r="H73" i="8"/>
  <c r="I73" i="8"/>
  <c r="J73" i="8"/>
  <c r="L73" i="8"/>
  <c r="F74" i="8"/>
  <c r="K73" i="8" l="1"/>
  <c r="M73" i="8"/>
  <c r="G74" i="8"/>
  <c r="H74" i="8"/>
  <c r="I74" i="8"/>
  <c r="J74" i="8"/>
  <c r="L74" i="8"/>
  <c r="F75" i="8"/>
  <c r="K74" i="8" l="1"/>
  <c r="M74" i="8"/>
  <c r="G75" i="8"/>
  <c r="H75" i="8"/>
  <c r="I75" i="8"/>
  <c r="J75" i="8"/>
  <c r="L75" i="8"/>
  <c r="F76" i="8"/>
  <c r="K75" i="8" l="1"/>
  <c r="M75" i="8"/>
  <c r="G76" i="8"/>
  <c r="H76" i="8"/>
  <c r="I76" i="8"/>
  <c r="J76" i="8"/>
  <c r="L76" i="8"/>
  <c r="F77" i="8"/>
  <c r="K76" i="8" l="1"/>
  <c r="M76" i="8"/>
  <c r="G77" i="8"/>
  <c r="H77" i="8"/>
  <c r="I77" i="8"/>
  <c r="J77" i="8"/>
  <c r="L77" i="8"/>
  <c r="F78" i="8"/>
  <c r="K77" i="8" l="1"/>
  <c r="M77" i="8"/>
  <c r="G78" i="8"/>
  <c r="H78" i="8"/>
  <c r="I78" i="8"/>
  <c r="J78" i="8"/>
  <c r="L78" i="8"/>
  <c r="F79" i="8"/>
  <c r="K78" i="8" l="1"/>
  <c r="M78" i="8"/>
  <c r="G79" i="8"/>
  <c r="H79" i="8"/>
  <c r="I79" i="8"/>
  <c r="J79" i="8"/>
  <c r="L79" i="8"/>
  <c r="F80" i="8"/>
  <c r="K79" i="8" l="1"/>
  <c r="M79" i="8"/>
  <c r="G80" i="8"/>
  <c r="H80" i="8"/>
  <c r="I80" i="8"/>
  <c r="J80" i="8"/>
  <c r="L80" i="8"/>
  <c r="F81" i="8"/>
  <c r="K80" i="8" l="1"/>
  <c r="M80" i="8"/>
  <c r="G81" i="8"/>
  <c r="H81" i="8"/>
  <c r="I81" i="8"/>
  <c r="J81" i="8"/>
  <c r="L81" i="8"/>
  <c r="F82" i="8"/>
  <c r="K81" i="8" l="1"/>
  <c r="M81" i="8"/>
  <c r="G82" i="8"/>
  <c r="H82" i="8"/>
  <c r="I82" i="8"/>
  <c r="J82" i="8"/>
  <c r="L82" i="8"/>
  <c r="F83" i="8"/>
  <c r="K82" i="8" l="1"/>
  <c r="M82" i="8"/>
  <c r="G83" i="8"/>
  <c r="H83" i="8"/>
  <c r="I83" i="8"/>
  <c r="J83" i="8"/>
  <c r="L83" i="8"/>
  <c r="F84" i="8"/>
  <c r="K83" i="8" l="1"/>
  <c r="M83" i="8"/>
  <c r="G84" i="8"/>
  <c r="H84" i="8"/>
  <c r="I84" i="8"/>
  <c r="J84" i="8"/>
  <c r="L84" i="8"/>
  <c r="F85" i="8"/>
  <c r="K84" i="8" l="1"/>
  <c r="M84" i="8"/>
  <c r="G85" i="8"/>
  <c r="H85" i="8"/>
  <c r="I85" i="8"/>
  <c r="J85" i="8"/>
  <c r="L85" i="8"/>
  <c r="F86" i="8"/>
  <c r="K85" i="8" l="1"/>
  <c r="M85" i="8"/>
  <c r="G86" i="8"/>
  <c r="H86" i="8"/>
  <c r="I86" i="8"/>
  <c r="J86" i="8"/>
  <c r="L86" i="8"/>
  <c r="F87" i="8"/>
  <c r="K86" i="8" l="1"/>
  <c r="M86" i="8"/>
  <c r="G87" i="8"/>
  <c r="H87" i="8"/>
  <c r="I87" i="8"/>
  <c r="J87" i="8"/>
  <c r="L87" i="8"/>
  <c r="F88" i="8"/>
  <c r="K87" i="8" l="1"/>
  <c r="M87" i="8"/>
  <c r="G88" i="8"/>
  <c r="H88" i="8"/>
  <c r="I88" i="8"/>
  <c r="J88" i="8"/>
  <c r="L88" i="8"/>
  <c r="F89" i="8"/>
  <c r="K88" i="8" l="1"/>
  <c r="M88" i="8"/>
  <c r="G89" i="8"/>
  <c r="H89" i="8"/>
  <c r="I89" i="8"/>
  <c r="J89" i="8"/>
  <c r="L89" i="8"/>
  <c r="F90" i="8"/>
  <c r="K89" i="8" l="1"/>
  <c r="M89" i="8"/>
  <c r="G90" i="8"/>
  <c r="H90" i="8"/>
  <c r="I90" i="8"/>
  <c r="J90" i="8"/>
  <c r="L90" i="8"/>
  <c r="F91" i="8"/>
  <c r="K90" i="8" l="1"/>
  <c r="M90" i="8"/>
  <c r="G91" i="8"/>
  <c r="I91" i="8"/>
  <c r="B10" i="11" s="1"/>
  <c r="H91" i="8"/>
  <c r="B23" i="11" s="1"/>
  <c r="J91" i="8"/>
  <c r="L91" i="8"/>
  <c r="K91" i="8" l="1"/>
  <c r="M91" i="8"/>
</calcChain>
</file>

<file path=xl/sharedStrings.xml><?xml version="1.0" encoding="utf-8"?>
<sst xmlns="http://schemas.openxmlformats.org/spreadsheetml/2006/main" count="217" uniqueCount="178">
  <si>
    <t>AI MUNIM - FORECAST AND CASH PLAN v2 (corrected to the canonical Oct 27 deck/wireframe numbers)</t>
  </si>
  <si>
    <t>ALL DATA SYNTHETIC. Lenders generic and simulated. No real Paytm/bank/lender figures.</t>
  </si>
  <si>
    <t>HOW THIS WORKBOOK FOLLOWS YOUR STANDARD</t>
  </si>
  <si>
    <t>- Blue cells (Inputs, Outflows, Policies) are the only raw inputs. History rows are SIMULATED raw observations,</t>
  </si>
  <si>
    <t xml:space="preserve">  standing in for imported settlement data - they are inputs, not calculations.</t>
  </si>
  <si>
    <t>- Every derived number is a native Excel formula: AVERAGEIFS (forecast), SUMIFS (daily outflows),</t>
  </si>
  <si>
    <t xml:space="preserve">  PMT (loan EMIs), running balances, MIN/INDEX/MATCH (option summaries). Change an input and it recalculates.</t>
  </si>
  <si>
    <t>- The prior pasted-Python Holt-Winters forecast is REPLACED by a formula-native method: per-outlet 12-week</t>
  </si>
  <si>
    <t xml:space="preserve">  same-weekday average, with the festival week multiplied by the uplift inputs (1.8x Dadar, 1.5x others).</t>
  </si>
  <si>
    <t xml:space="preserve">  This matches the deck design parameter D6 (last 12 weeks + last year festival pattern). It is not Holt-Winters.</t>
  </si>
  <si>
    <t>TWO COLLECTION COLUMNS, ON PURPOSE</t>
  </si>
  <si>
    <t>- collections_screen_rate: the rates stated on the cash-plan screen (70,000/day, 1.2 lakh/day festival).</t>
  </si>
  <si>
    <t xml:space="preserve">  balance_screen_story reproduces the exact screen narrative: -1,45,000 on 4 Nov, -1,84,500 on 5 Nov,</t>
  </si>
  <si>
    <t xml:space="preserve">  +55,500 on 7 Nov; with the drawdown, 5 Nov closes +15,500. THIS is the demo anchor.</t>
  </si>
  <si>
    <t>- collections_model: the formula forecast from the 18-month seeded history. It runs close but not identical</t>
  </si>
  <si>
    <t xml:space="preserve">  (festival blend 1.65x vs the screen 1.2L/day); shown openly rather than tuned to match.</t>
  </si>
  <si>
    <t>- Home-screen Rs10,140 is same-day PAYTM-CHANNEL collections till 7 pm - a different metric from the</t>
  </si>
  <si>
    <t>- December/January rows in Outflows are ASSUMED recurring bills; real future bills beyond the canonical list are unknown.</t>
  </si>
  <si>
    <t>- balance_screen_story reproduces the deck narrative from its stated rates and listed bills ONLY - PARTIAL (no existing</t>
  </si>
  <si>
    <t xml:space="preserve">  EMI, no unlisted bills). It is an ILLUSTRATIVE ANCHOR for the demo, NOT a validated cash forecast or affordability claim.</t>
  </si>
  <si>
    <t>- balance_model includes an ASSUMED existing-EMI due date (1st of month; editable Inputs B27 - our assumption, not a</t>
  </si>
  <si>
    <t>- The Rs2L drawdown does not fix every basis identically: story 5 Nov +15,500; model 5 Nov is NEGATIVE (see Options).</t>
  </si>
  <si>
    <t>- The Rs2L drawdown does not fix every column identically: story 5 Nov +15,500 vs model 5 Nov (Options B25).</t>
  </si>
  <si>
    <t>- Supplier-direct settlement appears ONCE: the drawdown columns are net relief (+2,00,000 on 4 Nov = Rs3.2L merchant cash</t>
  </si>
  <si>
    <t xml:space="preserve">  to Gupta + Rs2L lender-paid), never cash-in plus a reduced bill.</t>
  </si>
  <si>
    <t>- Screen footer terms (no Paytm charge, free early repayment, UPI AutoPay, January UPI charges) are illustrative</t>
  </si>
  <si>
    <t>- Option 3 (buy Rs1.8L less) is PARTIAL cover: leaves -4,500 on 5 Nov story basis, a larger residual on model basis.</t>
  </si>
  <si>
    <t>- Two repayment paths are kept distinct: repay-in-full by 30 Nov (principal + ~2,636 interest, no EMIs) vs the</t>
  </si>
  <si>
    <t xml:space="preserve">  contractual 3-EMI quote (68,733/month; 4 Dec and 4 Jan fall inside the window; 4 Feb outside).</t>
  </si>
  <si>
    <t>AI MUNIM - INPUTS (blue = change me; everything derived recalculates)</t>
  </si>
  <si>
    <t>All figures SYNTHETIC. Lenders generic and simulated. Canonical source: Oct 27 deck/wireframes.</t>
  </si>
  <si>
    <t>opening_cash_30oct</t>
  </si>
  <si>
    <t>as_of</t>
  </si>
  <si>
    <t>plan_days</t>
  </si>
  <si>
    <t>uplift_dadar</t>
  </si>
  <si>
    <t>uplift_others</t>
  </si>
  <si>
    <t>festival_start</t>
  </si>
  <si>
    <t>festival_end</t>
  </si>
  <si>
    <t>forecast_training_days</t>
  </si>
  <si>
    <t>screen_rate_normal_per_day</t>
  </si>
  <si>
    <t>screen_rate_festival_per_day</t>
  </si>
  <si>
    <t>credit_cap_ratio_of_avg_daily_collections</t>
  </si>
  <si>
    <t>avg_MONTHLY_collections_for_cap (deck-stated Rs19 lakh)</t>
  </si>
  <si>
    <t>existing_monthly_emi</t>
  </si>
  <si>
    <t>drawdown_pin_above</t>
  </si>
  <si>
    <t>refund_owner_above</t>
  </si>
  <si>
    <t>stock_margin_rate</t>
  </si>
  <si>
    <t>early_repay_days (4 Nov to 30 Nov)</t>
  </si>
  <si>
    <t>drawdown_amount</t>
  </si>
  <si>
    <t>drawdown_date</t>
  </si>
  <si>
    <t>deferral_amount</t>
  </si>
  <si>
    <t>deferral_repaid_date</t>
  </si>
  <si>
    <t>gupta_invoice_GD-1182</t>
  </si>
  <si>
    <t>stock_total</t>
  </si>
  <si>
    <t>buy_less_amount</t>
  </si>
  <si>
    <t>existing_emi_first_due (ASSUMED date - NOT a source fact; then monthly same day)</t>
  </si>
  <si>
    <t>date</t>
  </si>
  <si>
    <t>weekday (formula)</t>
  </si>
  <si>
    <t>collections_inr (SIMULATED RAW INPUT - all channels)</t>
  </si>
  <si>
    <t>DAD_avg12w</t>
  </si>
  <si>
    <t>MAT_avg12w</t>
  </si>
  <si>
    <t>SIO_avg12w</t>
  </si>
  <si>
    <t>DAD_fcst</t>
  </si>
  <si>
    <t>MAT_fcst</t>
  </si>
  <si>
    <t>SIO_fcst</t>
  </si>
  <si>
    <t>total_model</t>
  </si>
  <si>
    <t>screen_rate</t>
  </si>
  <si>
    <t>id</t>
  </si>
  <si>
    <t>payee</t>
  </si>
  <si>
    <t>category</t>
  </si>
  <si>
    <t>amount_inr (INPUT)</t>
  </si>
  <si>
    <t>note</t>
  </si>
  <si>
    <t>STOCK-PATEL</t>
  </si>
  <si>
    <t>Patel Traders</t>
  </si>
  <si>
    <t>festival_stock</t>
  </si>
  <si>
    <t>canonical</t>
  </si>
  <si>
    <t>SAL-11</t>
  </si>
  <si>
    <t>Staff pool (7 staff)</t>
  </si>
  <si>
    <t>salaries</t>
  </si>
  <si>
    <t>STOCK-MEHTA</t>
  </si>
  <si>
    <t>Mehta Dry Fruits</t>
  </si>
  <si>
    <t>STOCK-GUPTA</t>
  </si>
  <si>
    <t>Gupta Distributors</t>
  </si>
  <si>
    <t>canonical - invoice GD-1182</t>
  </si>
  <si>
    <t>RENT-11</t>
  </si>
  <si>
    <t>Landlord (3 outlets)</t>
  </si>
  <si>
    <t>rent</t>
  </si>
  <si>
    <t>BONUS-11</t>
  </si>
  <si>
    <t>Staff pool</t>
  </si>
  <si>
    <t>diwali_bonus</t>
  </si>
  <si>
    <t>GST-11</t>
  </si>
  <si>
    <t>GST (October)</t>
  </si>
  <si>
    <t>gst</t>
  </si>
  <si>
    <t>SAL-12</t>
  </si>
  <si>
    <t>ASSUMED recurring bill; actual bills beyond the canonical list are unknown</t>
  </si>
  <si>
    <t>RENT-12</t>
  </si>
  <si>
    <t>GST-12</t>
  </si>
  <si>
    <t>GST (November)</t>
  </si>
  <si>
    <t>SAL-01</t>
  </si>
  <si>
    <t>RENT-01</t>
  </si>
  <si>
    <t>GST-01</t>
  </si>
  <si>
    <t>GST (December)</t>
  </si>
  <si>
    <t>UPI-01</t>
  </si>
  <si>
    <t>UPI charges above Rs2,000</t>
  </si>
  <si>
    <t>upi_charges</t>
  </si>
  <si>
    <t>ILLUSTRATIVE deck assumption (about Rs650/month from January); NOT a verified Paytm fee rule</t>
  </si>
  <si>
    <t>EXISTING-EMI-11</t>
  </si>
  <si>
    <t>Existing lender (simulated)</t>
  </si>
  <si>
    <t>existing_emi_assumed</t>
  </si>
  <si>
    <t>ASSUMED due date (1st monthly) - NOT in the deck Coming-Up list; model columns only</t>
  </si>
  <si>
    <t>EXISTING-EMI-12</t>
  </si>
  <si>
    <t>EXISTING-EMI-01</t>
  </si>
  <si>
    <t>outflows</t>
  </si>
  <si>
    <t>emi_assumed</t>
  </si>
  <si>
    <t>coll_screen</t>
  </si>
  <si>
    <t>coll_model</t>
  </si>
  <si>
    <t>bal_story_PART</t>
  </si>
  <si>
    <t>bal_model</t>
  </si>
  <si>
    <t>story+drawdn</t>
  </si>
  <si>
    <t>story+defer</t>
  </si>
  <si>
    <t>story+buyless_P</t>
  </si>
  <si>
    <t>model+drawdn</t>
  </si>
  <si>
    <t>repay30_story</t>
  </si>
  <si>
    <t>repay30_model</t>
  </si>
  <si>
    <t>READ ME: bal_story_PARTIAL reproduces the deck screen narrative from its stated rates and listed bills ONLY (no existing EMI, no unlisted bills) - an ILLUSTRATIVE ANCHOR, not a validated cash forecast. bal_model = formula forecast from 18-month history INCLUDING the assumed existing EMI (1st monthly, editable Inputs B27). Every scenario appears on BOTH bases. Two repayment paths are distinct: EMI plan (contractual 3 x EMI, deducted 4 Dec / 4 Jan) vs repay-in-full 30 Nov (principal + 26-day interest estimate deducted once, no EMIs). Buy-less is PARTIAL cover and is labeled as such. Drawdown = supplier-direct net relief once (Rs3.2L merchant cash + Rs2L lender-paid to Gupta).</t>
  </si>
  <si>
    <t>LENDER EMIs (native PMT formulas; all simulated)</t>
  </si>
  <si>
    <t>Lender A - bank - 18.5% APR - 3 months - Rs2,00,000</t>
  </si>
  <si>
    <t>APR (input)</t>
  </si>
  <si>
    <t>Lender A monthly EMI</t>
  </si>
  <si>
    <t>Lender B - NBFC - 22.0% - 3 months</t>
  </si>
  <si>
    <t>Lender C - NBFC - 26.5% - 6 months</t>
  </si>
  <si>
    <t>Early-repayment interest estimate (26 days, Lender A)</t>
  </si>
  <si>
    <t>Screen footer terms (Paytm charges nothing, repay early free, UPI AutoPay) are ILLUSTRATIVE deck design copy, not verified lender/Paytm policy.</t>
  </si>
  <si>
    <t>Amortization - Lender A (contractual 3-month schedule)</t>
  </si>
  <si>
    <t>month</t>
  </si>
  <si>
    <t>interest</t>
  </si>
  <si>
    <t>principal</t>
  </si>
  <si>
    <t>balance_after</t>
  </si>
  <si>
    <t>Existing EMI Rs22,000/month: the deck cash plan does not date it. It is INCLUDED in bal_model at an ASSUMED</t>
  </si>
  <si>
    <t>1st-of-month due date (editable Inputs B27 - our assumption, not a source fact). bal_story_PARTIAL excludes it</t>
  </si>
  <si>
    <t>to reproduce the deck narrative faithfully. New-loan EMIs deducted 4 Dec and 4 Jan (3rd, 4 Feb, outside window).</t>
  </si>
  <si>
    <t>OWNER POLICIES (canonical deck values; confirm in product before any live use)</t>
  </si>
  <si>
    <t>avg daily collections for cap (= Rs19,00,000 / 30, unrounded intermediate)</t>
  </si>
  <si>
    <t>credit cap per day (8% of avg daily collections)</t>
  </si>
  <si>
    <t>credit cap, monthly equivalent (x30) - exactly Rs1,52,000; screen label Rs1.52 lakh</t>
  </si>
  <si>
    <t>existing monthly EMI</t>
  </si>
  <si>
    <t>new EMI if Lender A drawdown</t>
  </si>
  <si>
    <t>total EMIs after drawdown</t>
  </si>
  <si>
    <t>check: EMIs under monthly cap?</t>
  </si>
  <si>
    <t>same check, daily-normalized (EMIs/30 &lt;= daily cap)</t>
  </si>
  <si>
    <t>Cross-check: actual trailing-30-day all-channel average from history (plan-period run-rate)</t>
  </si>
  <si>
    <t>NOTE: the deck cap uses the stated normal-month average (Rs19L/month); the plan period runs hotter into Diwali.</t>
  </si>
  <si>
    <t>Owner-only triggers: new payee; changed bank account; drawdowns above Rs50,000; refunds above Rs5,000.</t>
  </si>
  <si>
    <t>AI check can only stop/escalate, never approve. PIN is simulated. Money moves lender -&gt; supplier directly.</t>
  </si>
  <si>
    <t>THREE WAYS TO COVER 5 NOV - two bases shown. Story anchor is PARTIAL (deck bills only); model includes ASSUMED existing EMI.</t>
  </si>
  <si>
    <t>BASE balances (no action)</t>
  </si>
  <si>
    <t>story basis (PARTIAL): 4 Nov first negative</t>
  </si>
  <si>
    <t>story basis: lowest, 5 Nov</t>
  </si>
  <si>
    <t>story basis: 7 Nov (back above zero)</t>
  </si>
  <si>
    <t>model basis: 5 Nov</t>
  </si>
  <si>
    <t>Option 1 - Ask Gupta for 15 days on Rs2 lakh (repaid 19 Nov, fee Rs0 if he agrees)</t>
  </si>
  <si>
    <t>story basis: lowest balance in window</t>
  </si>
  <si>
    <t>model basis: balance 5 Nov (deferral in effect)</t>
  </si>
  <si>
    <t>note: 19 Nov repayment of Rs2,00,000 is absorbed in both bases (balances well above zero by then).</t>
  </si>
  <si>
    <t>Option 2 - Draw Rs2 lakh on 4 Nov - TWO distinct repayment paths</t>
  </si>
  <si>
    <t>path A (screen copy): repay IN FULL by 30 Nov</t>
  </si>
  <si>
    <t xml:space="preserve">  interest estimate (26 days, simple)</t>
  </si>
  <si>
    <t xml:space="preserve">  story basis: balance 5 Nov</t>
  </si>
  <si>
    <t xml:space="preserve">  story basis: 30 Nov after repaying principal + interest</t>
  </si>
  <si>
    <t xml:space="preserve">  model basis: balance 5 Nov</t>
  </si>
  <si>
    <t>path B (contractual quote): 3 monthly EMIs</t>
  </si>
  <si>
    <t xml:space="preserve">  EMI (PMT formula)</t>
  </si>
  <si>
    <t xml:space="preserve">  story basis: lowest in window (EMIs deducted 4 Dec, 4 Jan)</t>
  </si>
  <si>
    <t>NOTE: the drawdown does NOT fix every basis identically - compare rows 17/19 and 22/24.</t>
  </si>
  <si>
    <t>Option 3 - Buy Rs1.8 lakh less stock - PARTIAL cover, does NOT fully close the 5 Nov gap</t>
  </si>
  <si>
    <t>Diwali margin at risk (15%)</t>
  </si>
  <si>
    <t>story basis: residual balance 5 Nov (still negative)</t>
  </si>
  <si>
    <t>model basis: residual balance 5 Nov (larger shortfall)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</si>
</sst>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00CC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1" fillId="0" borderId="0" xfId="0" applyFont="1"/>
    <xf numFmtId="0" fontId="2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1"/>
  <sheetViews>
    <sheetView tabSelected="1" workbookViewId="0"/>
  </sheetViews>
  <sheetFormatPr defaultRowHeight="14.25" x14ac:dyDescent="0.45"/>
  <cols>
    <col min="1" max="1" width="110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3" spans="1:1" x14ac:dyDescent="0.45">
      <c r="A13" t="s">
        <v>10</v>
      </c>
    </row>
    <row r="14" spans="1:1" x14ac:dyDescent="0.45">
      <c r="A14" t="s">
        <v>11</v>
      </c>
    </row>
    <row r="15" spans="1:1" x14ac:dyDescent="0.45">
      <c r="A15" t="s">
        <v>12</v>
      </c>
    </row>
    <row r="16" spans="1:1" x14ac:dyDescent="0.45">
      <c r="A16" t="s">
        <v>13</v>
      </c>
    </row>
    <row r="17" spans="1:1" x14ac:dyDescent="0.45">
      <c r="A17" t="s">
        <v>14</v>
      </c>
    </row>
    <row r="18" spans="1:1" x14ac:dyDescent="0.45">
      <c r="A18" t="s">
        <v>15</v>
      </c>
    </row>
    <row r="19" spans="1:1" x14ac:dyDescent="0.45">
      <c r="A19" t="s">
        <v>16</v>
      </c>
    </row>
    <row r="20" spans="1:1" x14ac:dyDescent="0.45">
      <c r="A20" t="s">
        <v>17</v>
      </c>
    </row>
    <row r="21" spans="1:1" x14ac:dyDescent="0.45">
      <c r="A21" t="s">
        <v>18</v>
      </c>
    </row>
    <row r="22" spans="1:1" x14ac:dyDescent="0.45">
      <c r="A22" t="s">
        <v>19</v>
      </c>
    </row>
    <row r="23" spans="1:1" x14ac:dyDescent="0.45">
      <c r="A23" t="s">
        <v>20</v>
      </c>
    </row>
    <row r="24" spans="1:1" x14ac:dyDescent="0.45">
      <c r="A24" t="s">
        <v>21</v>
      </c>
    </row>
    <row r="25" spans="1:1" x14ac:dyDescent="0.45">
      <c r="A25" t="s">
        <v>22</v>
      </c>
    </row>
    <row r="26" spans="1:1" x14ac:dyDescent="0.45">
      <c r="A26" t="s">
        <v>23</v>
      </c>
    </row>
    <row r="27" spans="1:1" x14ac:dyDescent="0.45">
      <c r="A27" t="s">
        <v>24</v>
      </c>
    </row>
    <row r="28" spans="1:1" x14ac:dyDescent="0.45">
      <c r="A28" t="s">
        <v>25</v>
      </c>
    </row>
    <row r="29" spans="1:1" x14ac:dyDescent="0.45">
      <c r="A29" t="s">
        <v>26</v>
      </c>
    </row>
    <row r="30" spans="1:1" x14ac:dyDescent="0.45">
      <c r="A30" t="s">
        <v>27</v>
      </c>
    </row>
    <row r="31" spans="1:1" x14ac:dyDescent="0.45">
      <c r="A31" t="s">
        <v>28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27"/>
  <sheetViews>
    <sheetView workbookViewId="0"/>
  </sheetViews>
  <sheetFormatPr defaultRowHeight="14.25" x14ac:dyDescent="0.45"/>
  <cols>
    <col min="1" max="1" width="58" customWidth="1"/>
    <col min="2" max="2" width="14" customWidth="1"/>
  </cols>
  <sheetData>
    <row r="1" spans="1:2" x14ac:dyDescent="0.45">
      <c r="A1" t="s">
        <v>29</v>
      </c>
    </row>
    <row r="2" spans="1:2" x14ac:dyDescent="0.45">
      <c r="A2" t="s">
        <v>30</v>
      </c>
    </row>
    <row r="3" spans="1:2" x14ac:dyDescent="0.45">
      <c r="A3" t="s">
        <v>31</v>
      </c>
      <c r="B3" s="1">
        <v>450000</v>
      </c>
    </row>
    <row r="4" spans="1:2" x14ac:dyDescent="0.45">
      <c r="A4" t="s">
        <v>32</v>
      </c>
      <c r="B4" s="2">
        <v>46325</v>
      </c>
    </row>
    <row r="5" spans="1:2" x14ac:dyDescent="0.45">
      <c r="A5" t="s">
        <v>33</v>
      </c>
      <c r="B5" s="1">
        <v>90</v>
      </c>
    </row>
    <row r="6" spans="1:2" x14ac:dyDescent="0.45">
      <c r="A6" t="s">
        <v>34</v>
      </c>
      <c r="B6" s="1">
        <v>1.8</v>
      </c>
    </row>
    <row r="7" spans="1:2" x14ac:dyDescent="0.45">
      <c r="A7" t="s">
        <v>35</v>
      </c>
      <c r="B7" s="1">
        <v>1.5</v>
      </c>
    </row>
    <row r="8" spans="1:2" x14ac:dyDescent="0.45">
      <c r="A8" t="s">
        <v>36</v>
      </c>
      <c r="B8" s="2">
        <v>46330</v>
      </c>
    </row>
    <row r="9" spans="1:2" x14ac:dyDescent="0.45">
      <c r="A9" t="s">
        <v>37</v>
      </c>
      <c r="B9" s="2">
        <v>46334</v>
      </c>
    </row>
    <row r="10" spans="1:2" x14ac:dyDescent="0.45">
      <c r="A10" t="s">
        <v>38</v>
      </c>
      <c r="B10" s="1">
        <v>84</v>
      </c>
    </row>
    <row r="11" spans="1:2" x14ac:dyDescent="0.45">
      <c r="A11" t="s">
        <v>39</v>
      </c>
      <c r="B11" s="1">
        <v>70000</v>
      </c>
    </row>
    <row r="12" spans="1:2" x14ac:dyDescent="0.45">
      <c r="A12" t="s">
        <v>40</v>
      </c>
      <c r="B12" s="1">
        <v>120000</v>
      </c>
    </row>
    <row r="13" spans="1:2" x14ac:dyDescent="0.45">
      <c r="A13" t="s">
        <v>41</v>
      </c>
      <c r="B13" s="1">
        <v>0.08</v>
      </c>
    </row>
    <row r="14" spans="1:2" x14ac:dyDescent="0.45">
      <c r="A14" t="s">
        <v>42</v>
      </c>
      <c r="B14" s="1">
        <v>1900000</v>
      </c>
    </row>
    <row r="15" spans="1:2" x14ac:dyDescent="0.45">
      <c r="A15" t="s">
        <v>43</v>
      </c>
      <c r="B15" s="1">
        <v>22000</v>
      </c>
    </row>
    <row r="16" spans="1:2" x14ac:dyDescent="0.45">
      <c r="A16" t="s">
        <v>44</v>
      </c>
      <c r="B16" s="1">
        <v>50000</v>
      </c>
    </row>
    <row r="17" spans="1:2" x14ac:dyDescent="0.45">
      <c r="A17" t="s">
        <v>45</v>
      </c>
      <c r="B17" s="1">
        <v>5000</v>
      </c>
    </row>
    <row r="18" spans="1:2" x14ac:dyDescent="0.45">
      <c r="A18" t="s">
        <v>46</v>
      </c>
      <c r="B18" s="1">
        <v>0.15</v>
      </c>
    </row>
    <row r="19" spans="1:2" x14ac:dyDescent="0.45">
      <c r="A19" t="s">
        <v>47</v>
      </c>
      <c r="B19" s="1">
        <v>26</v>
      </c>
    </row>
    <row r="20" spans="1:2" x14ac:dyDescent="0.45">
      <c r="A20" t="s">
        <v>48</v>
      </c>
      <c r="B20" s="1">
        <v>200000</v>
      </c>
    </row>
    <row r="21" spans="1:2" x14ac:dyDescent="0.45">
      <c r="A21" t="s">
        <v>49</v>
      </c>
      <c r="B21" s="2">
        <v>46330</v>
      </c>
    </row>
    <row r="22" spans="1:2" x14ac:dyDescent="0.45">
      <c r="A22" t="s">
        <v>50</v>
      </c>
      <c r="B22" s="1">
        <v>200000</v>
      </c>
    </row>
    <row r="23" spans="1:2" x14ac:dyDescent="0.45">
      <c r="A23" t="s">
        <v>51</v>
      </c>
      <c r="B23" s="2">
        <v>46345</v>
      </c>
    </row>
    <row r="24" spans="1:2" x14ac:dyDescent="0.45">
      <c r="A24" t="s">
        <v>52</v>
      </c>
      <c r="B24" s="1">
        <v>520000</v>
      </c>
    </row>
    <row r="25" spans="1:2" x14ac:dyDescent="0.45">
      <c r="A25" t="s">
        <v>53</v>
      </c>
      <c r="B25" s="1">
        <v>960000</v>
      </c>
    </row>
    <row r="26" spans="1:2" x14ac:dyDescent="0.45">
      <c r="A26" t="s">
        <v>54</v>
      </c>
      <c r="B26" s="1">
        <v>180000</v>
      </c>
    </row>
    <row r="27" spans="1:2" x14ac:dyDescent="0.45">
      <c r="A27" t="s">
        <v>55</v>
      </c>
      <c r="B27" s="2">
        <v>46327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8"/>
  <sheetViews>
    <sheetView workbookViewId="0"/>
  </sheetViews>
  <sheetFormatPr defaultRowHeight="14.25" x14ac:dyDescent="0.45"/>
  <cols>
    <col min="1" max="1" width="12" customWidth="1"/>
    <col min="3" max="3" width="40" customWidth="1"/>
  </cols>
  <sheetData>
    <row r="1" spans="1:3" x14ac:dyDescent="0.45">
      <c r="A1" t="s">
        <v>56</v>
      </c>
      <c r="B1" t="s">
        <v>57</v>
      </c>
      <c r="C1" t="s">
        <v>58</v>
      </c>
    </row>
    <row r="2" spans="1:3" x14ac:dyDescent="0.45">
      <c r="A2" s="3">
        <v>45778</v>
      </c>
      <c r="B2">
        <f t="shared" ref="B2:B65" si="0">WEEKDAY(A2,1)</f>
        <v>5</v>
      </c>
      <c r="C2" s="4">
        <v>33471</v>
      </c>
    </row>
    <row r="3" spans="1:3" x14ac:dyDescent="0.45">
      <c r="A3" s="3">
        <v>45779</v>
      </c>
      <c r="B3">
        <f t="shared" si="0"/>
        <v>6</v>
      </c>
      <c r="C3" s="4">
        <v>34519</v>
      </c>
    </row>
    <row r="4" spans="1:3" x14ac:dyDescent="0.45">
      <c r="A4" s="3">
        <v>45780</v>
      </c>
      <c r="B4">
        <f t="shared" si="0"/>
        <v>7</v>
      </c>
      <c r="C4" s="4">
        <v>38451</v>
      </c>
    </row>
    <row r="5" spans="1:3" x14ac:dyDescent="0.45">
      <c r="A5" s="3">
        <v>45781</v>
      </c>
      <c r="B5">
        <f t="shared" si="0"/>
        <v>1</v>
      </c>
      <c r="C5" s="4">
        <v>33731</v>
      </c>
    </row>
    <row r="6" spans="1:3" x14ac:dyDescent="0.45">
      <c r="A6" s="3">
        <v>45782</v>
      </c>
      <c r="B6">
        <f t="shared" si="0"/>
        <v>2</v>
      </c>
      <c r="C6" s="4">
        <v>31413</v>
      </c>
    </row>
    <row r="7" spans="1:3" x14ac:dyDescent="0.45">
      <c r="A7" s="3">
        <v>45783</v>
      </c>
      <c r="B7">
        <f t="shared" si="0"/>
        <v>3</v>
      </c>
      <c r="C7" s="4">
        <v>31928</v>
      </c>
    </row>
    <row r="8" spans="1:3" x14ac:dyDescent="0.45">
      <c r="A8" s="3">
        <v>45784</v>
      </c>
      <c r="B8">
        <f t="shared" si="0"/>
        <v>4</v>
      </c>
      <c r="C8" s="4">
        <v>32078</v>
      </c>
    </row>
    <row r="9" spans="1:3" x14ac:dyDescent="0.45">
      <c r="A9" s="3">
        <v>45785</v>
      </c>
      <c r="B9">
        <f t="shared" si="0"/>
        <v>5</v>
      </c>
      <c r="C9" s="4">
        <v>32757</v>
      </c>
    </row>
    <row r="10" spans="1:3" x14ac:dyDescent="0.45">
      <c r="A10" s="3">
        <v>45786</v>
      </c>
      <c r="B10">
        <f t="shared" si="0"/>
        <v>6</v>
      </c>
      <c r="C10" s="4">
        <v>33934</v>
      </c>
    </row>
    <row r="11" spans="1:3" x14ac:dyDescent="0.45">
      <c r="A11" s="3">
        <v>45787</v>
      </c>
      <c r="B11">
        <f t="shared" si="0"/>
        <v>7</v>
      </c>
      <c r="C11" s="4">
        <v>37121</v>
      </c>
    </row>
    <row r="12" spans="1:3" x14ac:dyDescent="0.45">
      <c r="A12" s="3">
        <v>45788</v>
      </c>
      <c r="B12">
        <f t="shared" si="0"/>
        <v>1</v>
      </c>
      <c r="C12" s="4">
        <v>36394</v>
      </c>
    </row>
    <row r="13" spans="1:3" x14ac:dyDescent="0.45">
      <c r="A13" s="3">
        <v>45789</v>
      </c>
      <c r="B13">
        <f t="shared" si="0"/>
        <v>2</v>
      </c>
      <c r="C13" s="4">
        <v>29848</v>
      </c>
    </row>
    <row r="14" spans="1:3" x14ac:dyDescent="0.45">
      <c r="A14" s="3">
        <v>45790</v>
      </c>
      <c r="B14">
        <f t="shared" si="0"/>
        <v>3</v>
      </c>
      <c r="C14" s="4">
        <v>30659</v>
      </c>
    </row>
    <row r="15" spans="1:3" x14ac:dyDescent="0.45">
      <c r="A15" s="3">
        <v>45791</v>
      </c>
      <c r="B15">
        <f t="shared" si="0"/>
        <v>4</v>
      </c>
      <c r="C15" s="4">
        <v>32157</v>
      </c>
    </row>
    <row r="16" spans="1:3" x14ac:dyDescent="0.45">
      <c r="A16" s="3">
        <v>45792</v>
      </c>
      <c r="B16">
        <f t="shared" si="0"/>
        <v>5</v>
      </c>
      <c r="C16" s="4">
        <v>33856</v>
      </c>
    </row>
    <row r="17" spans="1:3" x14ac:dyDescent="0.45">
      <c r="A17" s="3">
        <v>45793</v>
      </c>
      <c r="B17">
        <f t="shared" si="0"/>
        <v>6</v>
      </c>
      <c r="C17" s="4">
        <v>35556</v>
      </c>
    </row>
    <row r="18" spans="1:3" x14ac:dyDescent="0.45">
      <c r="A18" s="3">
        <v>45794</v>
      </c>
      <c r="B18">
        <f t="shared" si="0"/>
        <v>7</v>
      </c>
      <c r="C18" s="4">
        <v>37231</v>
      </c>
    </row>
    <row r="19" spans="1:3" x14ac:dyDescent="0.45">
      <c r="A19" s="3">
        <v>45795</v>
      </c>
      <c r="B19">
        <f t="shared" si="0"/>
        <v>1</v>
      </c>
      <c r="C19" s="4">
        <v>34837</v>
      </c>
    </row>
    <row r="20" spans="1:3" x14ac:dyDescent="0.45">
      <c r="A20" s="3">
        <v>45796</v>
      </c>
      <c r="B20">
        <f t="shared" si="0"/>
        <v>2</v>
      </c>
      <c r="C20" s="4">
        <v>30300</v>
      </c>
    </row>
    <row r="21" spans="1:3" x14ac:dyDescent="0.45">
      <c r="A21" s="3">
        <v>45797</v>
      </c>
      <c r="B21">
        <f t="shared" si="0"/>
        <v>3</v>
      </c>
      <c r="C21" s="4">
        <v>32949</v>
      </c>
    </row>
    <row r="22" spans="1:3" x14ac:dyDescent="0.45">
      <c r="A22" s="3">
        <v>45798</v>
      </c>
      <c r="B22">
        <f t="shared" si="0"/>
        <v>4</v>
      </c>
      <c r="C22" s="4">
        <v>32701</v>
      </c>
    </row>
    <row r="23" spans="1:3" x14ac:dyDescent="0.45">
      <c r="A23" s="3">
        <v>45799</v>
      </c>
      <c r="B23">
        <f t="shared" si="0"/>
        <v>5</v>
      </c>
      <c r="C23" s="4">
        <v>33128</v>
      </c>
    </row>
    <row r="24" spans="1:3" x14ac:dyDescent="0.45">
      <c r="A24" s="3">
        <v>45800</v>
      </c>
      <c r="B24">
        <f t="shared" si="0"/>
        <v>6</v>
      </c>
      <c r="C24" s="4">
        <v>35177</v>
      </c>
    </row>
    <row r="25" spans="1:3" x14ac:dyDescent="0.45">
      <c r="A25" s="3">
        <v>45801</v>
      </c>
      <c r="B25">
        <f t="shared" si="0"/>
        <v>7</v>
      </c>
      <c r="C25" s="4">
        <v>36485</v>
      </c>
    </row>
    <row r="26" spans="1:3" x14ac:dyDescent="0.45">
      <c r="A26" s="3">
        <v>45802</v>
      </c>
      <c r="B26">
        <f t="shared" si="0"/>
        <v>1</v>
      </c>
      <c r="C26" s="4">
        <v>35412</v>
      </c>
    </row>
    <row r="27" spans="1:3" x14ac:dyDescent="0.45">
      <c r="A27" s="3">
        <v>45803</v>
      </c>
      <c r="B27">
        <f t="shared" si="0"/>
        <v>2</v>
      </c>
      <c r="C27" s="4">
        <v>30269</v>
      </c>
    </row>
    <row r="28" spans="1:3" x14ac:dyDescent="0.45">
      <c r="A28" s="3">
        <v>45804</v>
      </c>
      <c r="B28">
        <f t="shared" si="0"/>
        <v>3</v>
      </c>
      <c r="C28" s="4">
        <v>32793</v>
      </c>
    </row>
    <row r="29" spans="1:3" x14ac:dyDescent="0.45">
      <c r="A29" s="3">
        <v>45805</v>
      </c>
      <c r="B29">
        <f t="shared" si="0"/>
        <v>4</v>
      </c>
      <c r="C29" s="4">
        <v>32440</v>
      </c>
    </row>
    <row r="30" spans="1:3" x14ac:dyDescent="0.45">
      <c r="A30" s="3">
        <v>45806</v>
      </c>
      <c r="B30">
        <f t="shared" si="0"/>
        <v>5</v>
      </c>
      <c r="C30" s="4">
        <v>33721</v>
      </c>
    </row>
    <row r="31" spans="1:3" x14ac:dyDescent="0.45">
      <c r="A31" s="3">
        <v>45807</v>
      </c>
      <c r="B31">
        <f t="shared" si="0"/>
        <v>6</v>
      </c>
      <c r="C31" s="4">
        <v>35507</v>
      </c>
    </row>
    <row r="32" spans="1:3" x14ac:dyDescent="0.45">
      <c r="A32" s="3">
        <v>45808</v>
      </c>
      <c r="B32">
        <f t="shared" si="0"/>
        <v>7</v>
      </c>
      <c r="C32" s="4">
        <v>37858</v>
      </c>
    </row>
    <row r="33" spans="1:3" x14ac:dyDescent="0.45">
      <c r="A33" s="3">
        <v>45809</v>
      </c>
      <c r="B33">
        <f t="shared" si="0"/>
        <v>1</v>
      </c>
      <c r="C33" s="4">
        <v>33726</v>
      </c>
    </row>
    <row r="34" spans="1:3" x14ac:dyDescent="0.45">
      <c r="A34" s="3">
        <v>45810</v>
      </c>
      <c r="B34">
        <f t="shared" si="0"/>
        <v>2</v>
      </c>
      <c r="C34" s="4">
        <v>31792</v>
      </c>
    </row>
    <row r="35" spans="1:3" x14ac:dyDescent="0.45">
      <c r="A35" s="3">
        <v>45811</v>
      </c>
      <c r="B35">
        <f t="shared" si="0"/>
        <v>3</v>
      </c>
      <c r="C35" s="4">
        <v>30966</v>
      </c>
    </row>
    <row r="36" spans="1:3" x14ac:dyDescent="0.45">
      <c r="A36" s="3">
        <v>45812</v>
      </c>
      <c r="B36">
        <f t="shared" si="0"/>
        <v>4</v>
      </c>
      <c r="C36" s="4">
        <v>32167</v>
      </c>
    </row>
    <row r="37" spans="1:3" x14ac:dyDescent="0.45">
      <c r="A37" s="3">
        <v>45813</v>
      </c>
      <c r="B37">
        <f t="shared" si="0"/>
        <v>5</v>
      </c>
      <c r="C37" s="4">
        <v>33643</v>
      </c>
    </row>
    <row r="38" spans="1:3" x14ac:dyDescent="0.45">
      <c r="A38" s="3">
        <v>45814</v>
      </c>
      <c r="B38">
        <f t="shared" si="0"/>
        <v>6</v>
      </c>
      <c r="C38" s="4">
        <v>33642</v>
      </c>
    </row>
    <row r="39" spans="1:3" x14ac:dyDescent="0.45">
      <c r="A39" s="3">
        <v>45815</v>
      </c>
      <c r="B39">
        <f t="shared" si="0"/>
        <v>7</v>
      </c>
      <c r="C39" s="4">
        <v>36367</v>
      </c>
    </row>
    <row r="40" spans="1:3" x14ac:dyDescent="0.45">
      <c r="A40" s="3">
        <v>45816</v>
      </c>
      <c r="B40">
        <f t="shared" si="0"/>
        <v>1</v>
      </c>
      <c r="C40" s="4">
        <v>35711</v>
      </c>
    </row>
    <row r="41" spans="1:3" x14ac:dyDescent="0.45">
      <c r="A41" s="3">
        <v>45817</v>
      </c>
      <c r="B41">
        <f t="shared" si="0"/>
        <v>2</v>
      </c>
      <c r="C41" s="4">
        <v>29808</v>
      </c>
    </row>
    <row r="42" spans="1:3" x14ac:dyDescent="0.45">
      <c r="A42" s="3">
        <v>45818</v>
      </c>
      <c r="B42">
        <f t="shared" si="0"/>
        <v>3</v>
      </c>
      <c r="C42" s="4">
        <v>31749</v>
      </c>
    </row>
    <row r="43" spans="1:3" x14ac:dyDescent="0.45">
      <c r="A43" s="3">
        <v>45819</v>
      </c>
      <c r="B43">
        <f t="shared" si="0"/>
        <v>4</v>
      </c>
      <c r="C43" s="4">
        <v>31684</v>
      </c>
    </row>
    <row r="44" spans="1:3" x14ac:dyDescent="0.45">
      <c r="A44" s="3">
        <v>45820</v>
      </c>
      <c r="B44">
        <f t="shared" si="0"/>
        <v>5</v>
      </c>
      <c r="C44" s="4">
        <v>34608</v>
      </c>
    </row>
    <row r="45" spans="1:3" x14ac:dyDescent="0.45">
      <c r="A45" s="3">
        <v>45821</v>
      </c>
      <c r="B45">
        <f t="shared" si="0"/>
        <v>6</v>
      </c>
      <c r="C45" s="4">
        <v>34194</v>
      </c>
    </row>
    <row r="46" spans="1:3" x14ac:dyDescent="0.45">
      <c r="A46" s="3">
        <v>45822</v>
      </c>
      <c r="B46">
        <f t="shared" si="0"/>
        <v>7</v>
      </c>
      <c r="C46" s="4">
        <v>37769</v>
      </c>
    </row>
    <row r="47" spans="1:3" x14ac:dyDescent="0.45">
      <c r="A47" s="3">
        <v>45823</v>
      </c>
      <c r="B47">
        <f t="shared" si="0"/>
        <v>1</v>
      </c>
      <c r="C47" s="4">
        <v>36298</v>
      </c>
    </row>
    <row r="48" spans="1:3" x14ac:dyDescent="0.45">
      <c r="A48" s="3">
        <v>45824</v>
      </c>
      <c r="B48">
        <f t="shared" si="0"/>
        <v>2</v>
      </c>
      <c r="C48" s="4">
        <v>30158</v>
      </c>
    </row>
    <row r="49" spans="1:3" x14ac:dyDescent="0.45">
      <c r="A49" s="3">
        <v>45825</v>
      </c>
      <c r="B49">
        <f t="shared" si="0"/>
        <v>3</v>
      </c>
      <c r="C49" s="4">
        <v>30764</v>
      </c>
    </row>
    <row r="50" spans="1:3" x14ac:dyDescent="0.45">
      <c r="A50" s="3">
        <v>45826</v>
      </c>
      <c r="B50">
        <f t="shared" si="0"/>
        <v>4</v>
      </c>
      <c r="C50" s="4">
        <v>33451</v>
      </c>
    </row>
    <row r="51" spans="1:3" x14ac:dyDescent="0.45">
      <c r="A51" s="3">
        <v>45827</v>
      </c>
      <c r="B51">
        <f t="shared" si="0"/>
        <v>5</v>
      </c>
      <c r="C51" s="4">
        <v>34649</v>
      </c>
    </row>
    <row r="52" spans="1:3" x14ac:dyDescent="0.45">
      <c r="A52" s="3">
        <v>45828</v>
      </c>
      <c r="B52">
        <f t="shared" si="0"/>
        <v>6</v>
      </c>
      <c r="C52" s="4">
        <v>33326</v>
      </c>
    </row>
    <row r="53" spans="1:3" x14ac:dyDescent="0.45">
      <c r="A53" s="3">
        <v>45829</v>
      </c>
      <c r="B53">
        <f t="shared" si="0"/>
        <v>7</v>
      </c>
      <c r="C53" s="4">
        <v>39017</v>
      </c>
    </row>
    <row r="54" spans="1:3" x14ac:dyDescent="0.45">
      <c r="A54" s="3">
        <v>45830</v>
      </c>
      <c r="B54">
        <f t="shared" si="0"/>
        <v>1</v>
      </c>
      <c r="C54" s="4">
        <v>34070</v>
      </c>
    </row>
    <row r="55" spans="1:3" x14ac:dyDescent="0.45">
      <c r="A55" s="3">
        <v>45831</v>
      </c>
      <c r="B55">
        <f t="shared" si="0"/>
        <v>2</v>
      </c>
      <c r="C55" s="4">
        <v>30668</v>
      </c>
    </row>
    <row r="56" spans="1:3" x14ac:dyDescent="0.45">
      <c r="A56" s="3">
        <v>45832</v>
      </c>
      <c r="B56">
        <f t="shared" si="0"/>
        <v>3</v>
      </c>
      <c r="C56" s="4">
        <v>31251</v>
      </c>
    </row>
    <row r="57" spans="1:3" x14ac:dyDescent="0.45">
      <c r="A57" s="3">
        <v>45833</v>
      </c>
      <c r="B57">
        <f t="shared" si="0"/>
        <v>4</v>
      </c>
      <c r="C57" s="4">
        <v>32118</v>
      </c>
    </row>
    <row r="58" spans="1:3" x14ac:dyDescent="0.45">
      <c r="A58" s="3">
        <v>45834</v>
      </c>
      <c r="B58">
        <f t="shared" si="0"/>
        <v>5</v>
      </c>
      <c r="C58" s="4">
        <v>33023</v>
      </c>
    </row>
    <row r="59" spans="1:3" x14ac:dyDescent="0.45">
      <c r="A59" s="3">
        <v>45835</v>
      </c>
      <c r="B59">
        <f t="shared" si="0"/>
        <v>6</v>
      </c>
      <c r="C59" s="4">
        <v>35493</v>
      </c>
    </row>
    <row r="60" spans="1:3" x14ac:dyDescent="0.45">
      <c r="A60" s="3">
        <v>45836</v>
      </c>
      <c r="B60">
        <f t="shared" si="0"/>
        <v>7</v>
      </c>
      <c r="C60" s="4">
        <v>37828</v>
      </c>
    </row>
    <row r="61" spans="1:3" x14ac:dyDescent="0.45">
      <c r="A61" s="3">
        <v>45837</v>
      </c>
      <c r="B61">
        <f t="shared" si="0"/>
        <v>1</v>
      </c>
      <c r="C61" s="4">
        <v>34518</v>
      </c>
    </row>
    <row r="62" spans="1:3" x14ac:dyDescent="0.45">
      <c r="A62" s="3">
        <v>45838</v>
      </c>
      <c r="B62">
        <f t="shared" si="0"/>
        <v>2</v>
      </c>
      <c r="C62" s="4">
        <v>31673</v>
      </c>
    </row>
    <row r="63" spans="1:3" x14ac:dyDescent="0.45">
      <c r="A63" s="3">
        <v>45839</v>
      </c>
      <c r="B63">
        <f t="shared" si="0"/>
        <v>3</v>
      </c>
      <c r="C63" s="4">
        <v>31914</v>
      </c>
    </row>
    <row r="64" spans="1:3" x14ac:dyDescent="0.45">
      <c r="A64" s="3">
        <v>45840</v>
      </c>
      <c r="B64">
        <f t="shared" si="0"/>
        <v>4</v>
      </c>
      <c r="C64" s="4">
        <v>32083</v>
      </c>
    </row>
    <row r="65" spans="1:3" x14ac:dyDescent="0.45">
      <c r="A65" s="3">
        <v>45841</v>
      </c>
      <c r="B65">
        <f t="shared" si="0"/>
        <v>5</v>
      </c>
      <c r="C65" s="4">
        <v>33645</v>
      </c>
    </row>
    <row r="66" spans="1:3" x14ac:dyDescent="0.45">
      <c r="A66" s="3">
        <v>45842</v>
      </c>
      <c r="B66">
        <f t="shared" ref="B66:B129" si="1">WEEKDAY(A66,1)</f>
        <v>6</v>
      </c>
      <c r="C66" s="4">
        <v>33904</v>
      </c>
    </row>
    <row r="67" spans="1:3" x14ac:dyDescent="0.45">
      <c r="A67" s="3">
        <v>45843</v>
      </c>
      <c r="B67">
        <f t="shared" si="1"/>
        <v>7</v>
      </c>
      <c r="C67" s="4">
        <v>38887</v>
      </c>
    </row>
    <row r="68" spans="1:3" x14ac:dyDescent="0.45">
      <c r="A68" s="3">
        <v>45844</v>
      </c>
      <c r="B68">
        <f t="shared" si="1"/>
        <v>1</v>
      </c>
      <c r="C68" s="4">
        <v>36152</v>
      </c>
    </row>
    <row r="69" spans="1:3" x14ac:dyDescent="0.45">
      <c r="A69" s="3">
        <v>45845</v>
      </c>
      <c r="B69">
        <f t="shared" si="1"/>
        <v>2</v>
      </c>
      <c r="C69" s="4">
        <v>31230</v>
      </c>
    </row>
    <row r="70" spans="1:3" x14ac:dyDescent="0.45">
      <c r="A70" s="3">
        <v>45846</v>
      </c>
      <c r="B70">
        <f t="shared" si="1"/>
        <v>3</v>
      </c>
      <c r="C70" s="4">
        <v>30812</v>
      </c>
    </row>
    <row r="71" spans="1:3" x14ac:dyDescent="0.45">
      <c r="A71" s="3">
        <v>45847</v>
      </c>
      <c r="B71">
        <f t="shared" si="1"/>
        <v>4</v>
      </c>
      <c r="C71" s="4">
        <v>34089</v>
      </c>
    </row>
    <row r="72" spans="1:3" x14ac:dyDescent="0.45">
      <c r="A72" s="3">
        <v>45848</v>
      </c>
      <c r="B72">
        <f t="shared" si="1"/>
        <v>5</v>
      </c>
      <c r="C72" s="4">
        <v>34108</v>
      </c>
    </row>
    <row r="73" spans="1:3" x14ac:dyDescent="0.45">
      <c r="A73" s="3">
        <v>45849</v>
      </c>
      <c r="B73">
        <f t="shared" si="1"/>
        <v>6</v>
      </c>
      <c r="C73" s="4">
        <v>35504</v>
      </c>
    </row>
    <row r="74" spans="1:3" x14ac:dyDescent="0.45">
      <c r="A74" s="3">
        <v>45850</v>
      </c>
      <c r="B74">
        <f t="shared" si="1"/>
        <v>7</v>
      </c>
      <c r="C74" s="4">
        <v>37510</v>
      </c>
    </row>
    <row r="75" spans="1:3" x14ac:dyDescent="0.45">
      <c r="A75" s="3">
        <v>45851</v>
      </c>
      <c r="B75">
        <f t="shared" si="1"/>
        <v>1</v>
      </c>
      <c r="C75" s="4">
        <v>34266</v>
      </c>
    </row>
    <row r="76" spans="1:3" x14ac:dyDescent="0.45">
      <c r="A76" s="3">
        <v>45852</v>
      </c>
      <c r="B76">
        <f t="shared" si="1"/>
        <v>2</v>
      </c>
      <c r="C76" s="4">
        <v>31689</v>
      </c>
    </row>
    <row r="77" spans="1:3" x14ac:dyDescent="0.45">
      <c r="A77" s="3">
        <v>45853</v>
      </c>
      <c r="B77">
        <f t="shared" si="1"/>
        <v>3</v>
      </c>
      <c r="C77" s="4">
        <v>30731</v>
      </c>
    </row>
    <row r="78" spans="1:3" x14ac:dyDescent="0.45">
      <c r="A78" s="3">
        <v>45854</v>
      </c>
      <c r="B78">
        <f t="shared" si="1"/>
        <v>4</v>
      </c>
      <c r="C78" s="4">
        <v>33791</v>
      </c>
    </row>
    <row r="79" spans="1:3" x14ac:dyDescent="0.45">
      <c r="A79" s="3">
        <v>45855</v>
      </c>
      <c r="B79">
        <f t="shared" si="1"/>
        <v>5</v>
      </c>
      <c r="C79" s="4">
        <v>34128</v>
      </c>
    </row>
    <row r="80" spans="1:3" x14ac:dyDescent="0.45">
      <c r="A80" s="3">
        <v>45856</v>
      </c>
      <c r="B80">
        <f t="shared" si="1"/>
        <v>6</v>
      </c>
      <c r="C80" s="4">
        <v>34215</v>
      </c>
    </row>
    <row r="81" spans="1:3" x14ac:dyDescent="0.45">
      <c r="A81" s="3">
        <v>45857</v>
      </c>
      <c r="B81">
        <f t="shared" si="1"/>
        <v>7</v>
      </c>
      <c r="C81" s="4">
        <v>38532</v>
      </c>
    </row>
    <row r="82" spans="1:3" x14ac:dyDescent="0.45">
      <c r="A82" s="3">
        <v>45858</v>
      </c>
      <c r="B82">
        <f t="shared" si="1"/>
        <v>1</v>
      </c>
      <c r="C82" s="4">
        <v>36597</v>
      </c>
    </row>
    <row r="83" spans="1:3" x14ac:dyDescent="0.45">
      <c r="A83" s="3">
        <v>45859</v>
      </c>
      <c r="B83">
        <f t="shared" si="1"/>
        <v>2</v>
      </c>
      <c r="C83" s="4">
        <v>31903</v>
      </c>
    </row>
    <row r="84" spans="1:3" x14ac:dyDescent="0.45">
      <c r="A84" s="3">
        <v>45860</v>
      </c>
      <c r="B84">
        <f t="shared" si="1"/>
        <v>3</v>
      </c>
      <c r="C84" s="4">
        <v>31565</v>
      </c>
    </row>
    <row r="85" spans="1:3" x14ac:dyDescent="0.45">
      <c r="A85" s="3">
        <v>45861</v>
      </c>
      <c r="B85">
        <f t="shared" si="1"/>
        <v>4</v>
      </c>
      <c r="C85" s="4">
        <v>32455</v>
      </c>
    </row>
    <row r="86" spans="1:3" x14ac:dyDescent="0.45">
      <c r="A86" s="3">
        <v>45862</v>
      </c>
      <c r="B86">
        <f t="shared" si="1"/>
        <v>5</v>
      </c>
      <c r="C86" s="4">
        <v>34156</v>
      </c>
    </row>
    <row r="87" spans="1:3" x14ac:dyDescent="0.45">
      <c r="A87" s="3">
        <v>45863</v>
      </c>
      <c r="B87">
        <f t="shared" si="1"/>
        <v>6</v>
      </c>
      <c r="C87" s="4">
        <v>34281</v>
      </c>
    </row>
    <row r="88" spans="1:3" x14ac:dyDescent="0.45">
      <c r="A88" s="3">
        <v>45864</v>
      </c>
      <c r="B88">
        <f t="shared" si="1"/>
        <v>7</v>
      </c>
      <c r="C88" s="4">
        <v>36704</v>
      </c>
    </row>
    <row r="89" spans="1:3" x14ac:dyDescent="0.45">
      <c r="A89" s="3">
        <v>45865</v>
      </c>
      <c r="B89">
        <f t="shared" si="1"/>
        <v>1</v>
      </c>
      <c r="C89" s="4">
        <v>34074</v>
      </c>
    </row>
    <row r="90" spans="1:3" x14ac:dyDescent="0.45">
      <c r="A90" s="3">
        <v>45866</v>
      </c>
      <c r="B90">
        <f t="shared" si="1"/>
        <v>2</v>
      </c>
      <c r="C90" s="4">
        <v>29899</v>
      </c>
    </row>
    <row r="91" spans="1:3" x14ac:dyDescent="0.45">
      <c r="A91" s="3">
        <v>45867</v>
      </c>
      <c r="B91">
        <f t="shared" si="1"/>
        <v>3</v>
      </c>
      <c r="C91" s="4">
        <v>32547</v>
      </c>
    </row>
    <row r="92" spans="1:3" x14ac:dyDescent="0.45">
      <c r="A92" s="3">
        <v>45868</v>
      </c>
      <c r="B92">
        <f t="shared" si="1"/>
        <v>4</v>
      </c>
      <c r="C92" s="4">
        <v>32720</v>
      </c>
    </row>
    <row r="93" spans="1:3" x14ac:dyDescent="0.45">
      <c r="A93" s="3">
        <v>45869</v>
      </c>
      <c r="B93">
        <f t="shared" si="1"/>
        <v>5</v>
      </c>
      <c r="C93" s="4">
        <v>34315</v>
      </c>
    </row>
    <row r="94" spans="1:3" x14ac:dyDescent="0.45">
      <c r="A94" s="3">
        <v>45870</v>
      </c>
      <c r="B94">
        <f t="shared" si="1"/>
        <v>6</v>
      </c>
      <c r="C94" s="4">
        <v>35730</v>
      </c>
    </row>
    <row r="95" spans="1:3" x14ac:dyDescent="0.45">
      <c r="A95" s="3">
        <v>45871</v>
      </c>
      <c r="B95">
        <f t="shared" si="1"/>
        <v>7</v>
      </c>
      <c r="C95" s="4">
        <v>37261</v>
      </c>
    </row>
    <row r="96" spans="1:3" x14ac:dyDescent="0.45">
      <c r="A96" s="3">
        <v>45872</v>
      </c>
      <c r="B96">
        <f t="shared" si="1"/>
        <v>1</v>
      </c>
      <c r="C96" s="4">
        <v>34583</v>
      </c>
    </row>
    <row r="97" spans="1:3" x14ac:dyDescent="0.45">
      <c r="A97" s="3">
        <v>45873</v>
      </c>
      <c r="B97">
        <f t="shared" si="1"/>
        <v>2</v>
      </c>
      <c r="C97" s="4">
        <v>30934</v>
      </c>
    </row>
    <row r="98" spans="1:3" x14ac:dyDescent="0.45">
      <c r="A98" s="3">
        <v>45874</v>
      </c>
      <c r="B98">
        <f t="shared" si="1"/>
        <v>3</v>
      </c>
      <c r="C98" s="4">
        <v>33219</v>
      </c>
    </row>
    <row r="99" spans="1:3" x14ac:dyDescent="0.45">
      <c r="A99" s="3">
        <v>45875</v>
      </c>
      <c r="B99">
        <f t="shared" si="1"/>
        <v>4</v>
      </c>
      <c r="C99" s="4">
        <v>34047</v>
      </c>
    </row>
    <row r="100" spans="1:3" x14ac:dyDescent="0.45">
      <c r="A100" s="3">
        <v>45876</v>
      </c>
      <c r="B100">
        <f t="shared" si="1"/>
        <v>5</v>
      </c>
      <c r="C100" s="4">
        <v>34411</v>
      </c>
    </row>
    <row r="101" spans="1:3" x14ac:dyDescent="0.45">
      <c r="A101" s="3">
        <v>45877</v>
      </c>
      <c r="B101">
        <f t="shared" si="1"/>
        <v>6</v>
      </c>
      <c r="C101" s="4">
        <v>35910</v>
      </c>
    </row>
    <row r="102" spans="1:3" x14ac:dyDescent="0.45">
      <c r="A102" s="3">
        <v>45878</v>
      </c>
      <c r="B102">
        <f t="shared" si="1"/>
        <v>7</v>
      </c>
      <c r="C102" s="4">
        <v>36987</v>
      </c>
    </row>
    <row r="103" spans="1:3" x14ac:dyDescent="0.45">
      <c r="A103" s="3">
        <v>45879</v>
      </c>
      <c r="B103">
        <f t="shared" si="1"/>
        <v>1</v>
      </c>
      <c r="C103" s="4">
        <v>34446</v>
      </c>
    </row>
    <row r="104" spans="1:3" x14ac:dyDescent="0.45">
      <c r="A104" s="3">
        <v>45880</v>
      </c>
      <c r="B104">
        <f t="shared" si="1"/>
        <v>2</v>
      </c>
      <c r="C104" s="4">
        <v>30570</v>
      </c>
    </row>
    <row r="105" spans="1:3" x14ac:dyDescent="0.45">
      <c r="A105" s="3">
        <v>45881</v>
      </c>
      <c r="B105">
        <f t="shared" si="1"/>
        <v>3</v>
      </c>
      <c r="C105" s="4">
        <v>30801</v>
      </c>
    </row>
    <row r="106" spans="1:3" x14ac:dyDescent="0.45">
      <c r="A106" s="3">
        <v>45882</v>
      </c>
      <c r="B106">
        <f t="shared" si="1"/>
        <v>4</v>
      </c>
      <c r="C106" s="4">
        <v>32513</v>
      </c>
    </row>
    <row r="107" spans="1:3" x14ac:dyDescent="0.45">
      <c r="A107" s="3">
        <v>45883</v>
      </c>
      <c r="B107">
        <f t="shared" si="1"/>
        <v>5</v>
      </c>
      <c r="C107" s="4">
        <v>35010</v>
      </c>
    </row>
    <row r="108" spans="1:3" x14ac:dyDescent="0.45">
      <c r="A108" s="3">
        <v>45884</v>
      </c>
      <c r="B108">
        <f t="shared" si="1"/>
        <v>6</v>
      </c>
      <c r="C108" s="4">
        <v>35954</v>
      </c>
    </row>
    <row r="109" spans="1:3" x14ac:dyDescent="0.45">
      <c r="A109" s="3">
        <v>45885</v>
      </c>
      <c r="B109">
        <f t="shared" si="1"/>
        <v>7</v>
      </c>
      <c r="C109" s="4">
        <v>39047</v>
      </c>
    </row>
    <row r="110" spans="1:3" x14ac:dyDescent="0.45">
      <c r="A110" s="3">
        <v>45886</v>
      </c>
      <c r="B110">
        <f t="shared" si="1"/>
        <v>1</v>
      </c>
      <c r="C110" s="4">
        <v>34304</v>
      </c>
    </row>
    <row r="111" spans="1:3" x14ac:dyDescent="0.45">
      <c r="A111" s="3">
        <v>45887</v>
      </c>
      <c r="B111">
        <f t="shared" si="1"/>
        <v>2</v>
      </c>
      <c r="C111" s="4">
        <v>30067</v>
      </c>
    </row>
    <row r="112" spans="1:3" x14ac:dyDescent="0.45">
      <c r="A112" s="3">
        <v>45888</v>
      </c>
      <c r="B112">
        <f t="shared" si="1"/>
        <v>3</v>
      </c>
      <c r="C112" s="4">
        <v>31104</v>
      </c>
    </row>
    <row r="113" spans="1:3" x14ac:dyDescent="0.45">
      <c r="A113" s="3">
        <v>45889</v>
      </c>
      <c r="B113">
        <f t="shared" si="1"/>
        <v>4</v>
      </c>
      <c r="C113" s="4">
        <v>32153</v>
      </c>
    </row>
    <row r="114" spans="1:3" x14ac:dyDescent="0.45">
      <c r="A114" s="3">
        <v>45890</v>
      </c>
      <c r="B114">
        <f t="shared" si="1"/>
        <v>5</v>
      </c>
      <c r="C114" s="4">
        <v>32474</v>
      </c>
    </row>
    <row r="115" spans="1:3" x14ac:dyDescent="0.45">
      <c r="A115" s="3">
        <v>45891</v>
      </c>
      <c r="B115">
        <f t="shared" si="1"/>
        <v>6</v>
      </c>
      <c r="C115" s="4">
        <v>33416</v>
      </c>
    </row>
    <row r="116" spans="1:3" x14ac:dyDescent="0.45">
      <c r="A116" s="3">
        <v>45892</v>
      </c>
      <c r="B116">
        <f t="shared" si="1"/>
        <v>7</v>
      </c>
      <c r="C116" s="4">
        <v>37868</v>
      </c>
    </row>
    <row r="117" spans="1:3" x14ac:dyDescent="0.45">
      <c r="A117" s="3">
        <v>45893</v>
      </c>
      <c r="B117">
        <f t="shared" si="1"/>
        <v>1</v>
      </c>
      <c r="C117" s="4">
        <v>34806</v>
      </c>
    </row>
    <row r="118" spans="1:3" x14ac:dyDescent="0.45">
      <c r="A118" s="3">
        <v>45894</v>
      </c>
      <c r="B118">
        <f t="shared" si="1"/>
        <v>2</v>
      </c>
      <c r="C118" s="4">
        <v>30016</v>
      </c>
    </row>
    <row r="119" spans="1:3" x14ac:dyDescent="0.45">
      <c r="A119" s="3">
        <v>45895</v>
      </c>
      <c r="B119">
        <f t="shared" si="1"/>
        <v>3</v>
      </c>
      <c r="C119" s="4">
        <v>32720</v>
      </c>
    </row>
    <row r="120" spans="1:3" x14ac:dyDescent="0.45">
      <c r="A120" s="3">
        <v>45896</v>
      </c>
      <c r="B120">
        <f t="shared" si="1"/>
        <v>4</v>
      </c>
      <c r="C120" s="4">
        <v>34171</v>
      </c>
    </row>
    <row r="121" spans="1:3" x14ac:dyDescent="0.45">
      <c r="A121" s="3">
        <v>45897</v>
      </c>
      <c r="B121">
        <f t="shared" si="1"/>
        <v>5</v>
      </c>
      <c r="C121" s="4">
        <v>32537</v>
      </c>
    </row>
    <row r="122" spans="1:3" x14ac:dyDescent="0.45">
      <c r="A122" s="3">
        <v>45898</v>
      </c>
      <c r="B122">
        <f t="shared" si="1"/>
        <v>6</v>
      </c>
      <c r="C122" s="4">
        <v>35115</v>
      </c>
    </row>
    <row r="123" spans="1:3" x14ac:dyDescent="0.45">
      <c r="A123" s="3">
        <v>45899</v>
      </c>
      <c r="B123">
        <f t="shared" si="1"/>
        <v>7</v>
      </c>
      <c r="C123" s="4">
        <v>38143</v>
      </c>
    </row>
    <row r="124" spans="1:3" x14ac:dyDescent="0.45">
      <c r="A124" s="3">
        <v>45900</v>
      </c>
      <c r="B124">
        <f t="shared" si="1"/>
        <v>1</v>
      </c>
      <c r="C124" s="4">
        <v>34369</v>
      </c>
    </row>
    <row r="125" spans="1:3" x14ac:dyDescent="0.45">
      <c r="A125" s="3">
        <v>45901</v>
      </c>
      <c r="B125">
        <f t="shared" si="1"/>
        <v>2</v>
      </c>
      <c r="C125" s="4">
        <v>31146</v>
      </c>
    </row>
    <row r="126" spans="1:3" x14ac:dyDescent="0.45">
      <c r="A126" s="3">
        <v>45902</v>
      </c>
      <c r="B126">
        <f t="shared" si="1"/>
        <v>3</v>
      </c>
      <c r="C126" s="4">
        <v>31330</v>
      </c>
    </row>
    <row r="127" spans="1:3" x14ac:dyDescent="0.45">
      <c r="A127" s="3">
        <v>45903</v>
      </c>
      <c r="B127">
        <f t="shared" si="1"/>
        <v>4</v>
      </c>
      <c r="C127" s="4">
        <v>32787</v>
      </c>
    </row>
    <row r="128" spans="1:3" x14ac:dyDescent="0.45">
      <c r="A128" s="3">
        <v>45904</v>
      </c>
      <c r="B128">
        <f t="shared" si="1"/>
        <v>5</v>
      </c>
      <c r="C128" s="4">
        <v>34348</v>
      </c>
    </row>
    <row r="129" spans="1:3" x14ac:dyDescent="0.45">
      <c r="A129" s="3">
        <v>45905</v>
      </c>
      <c r="B129">
        <f t="shared" si="1"/>
        <v>6</v>
      </c>
      <c r="C129" s="4">
        <v>35819</v>
      </c>
    </row>
    <row r="130" spans="1:3" x14ac:dyDescent="0.45">
      <c r="A130" s="3">
        <v>45906</v>
      </c>
      <c r="B130">
        <f t="shared" ref="B130:B193" si="2">WEEKDAY(A130,1)</f>
        <v>7</v>
      </c>
      <c r="C130" s="4">
        <v>36877</v>
      </c>
    </row>
    <row r="131" spans="1:3" x14ac:dyDescent="0.45">
      <c r="A131" s="3">
        <v>45907</v>
      </c>
      <c r="B131">
        <f t="shared" si="2"/>
        <v>1</v>
      </c>
      <c r="C131" s="4">
        <v>35633</v>
      </c>
    </row>
    <row r="132" spans="1:3" x14ac:dyDescent="0.45">
      <c r="A132" s="3">
        <v>45908</v>
      </c>
      <c r="B132">
        <f t="shared" si="2"/>
        <v>2</v>
      </c>
      <c r="C132" s="4">
        <v>30342</v>
      </c>
    </row>
    <row r="133" spans="1:3" x14ac:dyDescent="0.45">
      <c r="A133" s="3">
        <v>45909</v>
      </c>
      <c r="B133">
        <f t="shared" si="2"/>
        <v>3</v>
      </c>
      <c r="C133" s="4">
        <v>32673</v>
      </c>
    </row>
    <row r="134" spans="1:3" x14ac:dyDescent="0.45">
      <c r="A134" s="3">
        <v>45910</v>
      </c>
      <c r="B134">
        <f t="shared" si="2"/>
        <v>4</v>
      </c>
      <c r="C134" s="4">
        <v>34057</v>
      </c>
    </row>
    <row r="135" spans="1:3" x14ac:dyDescent="0.45">
      <c r="A135" s="3">
        <v>45911</v>
      </c>
      <c r="B135">
        <f t="shared" si="2"/>
        <v>5</v>
      </c>
      <c r="C135" s="4">
        <v>33135</v>
      </c>
    </row>
    <row r="136" spans="1:3" x14ac:dyDescent="0.45">
      <c r="A136" s="3">
        <v>45912</v>
      </c>
      <c r="B136">
        <f t="shared" si="2"/>
        <v>6</v>
      </c>
      <c r="C136" s="4">
        <v>35662</v>
      </c>
    </row>
    <row r="137" spans="1:3" x14ac:dyDescent="0.45">
      <c r="A137" s="3">
        <v>45913</v>
      </c>
      <c r="B137">
        <f t="shared" si="2"/>
        <v>7</v>
      </c>
      <c r="C137" s="4">
        <v>38971</v>
      </c>
    </row>
    <row r="138" spans="1:3" x14ac:dyDescent="0.45">
      <c r="A138" s="3">
        <v>45914</v>
      </c>
      <c r="B138">
        <f t="shared" si="2"/>
        <v>1</v>
      </c>
      <c r="C138" s="4">
        <v>35826</v>
      </c>
    </row>
    <row r="139" spans="1:3" x14ac:dyDescent="0.45">
      <c r="A139" s="3">
        <v>45915</v>
      </c>
      <c r="B139">
        <f t="shared" si="2"/>
        <v>2</v>
      </c>
      <c r="C139" s="4">
        <v>30228</v>
      </c>
    </row>
    <row r="140" spans="1:3" x14ac:dyDescent="0.45">
      <c r="A140" s="3">
        <v>45916</v>
      </c>
      <c r="B140">
        <f t="shared" si="2"/>
        <v>3</v>
      </c>
      <c r="C140" s="4">
        <v>31437</v>
      </c>
    </row>
    <row r="141" spans="1:3" x14ac:dyDescent="0.45">
      <c r="A141" s="3">
        <v>45917</v>
      </c>
      <c r="B141">
        <f t="shared" si="2"/>
        <v>4</v>
      </c>
      <c r="C141" s="4">
        <v>32019</v>
      </c>
    </row>
    <row r="142" spans="1:3" x14ac:dyDescent="0.45">
      <c r="A142" s="3">
        <v>45918</v>
      </c>
      <c r="B142">
        <f t="shared" si="2"/>
        <v>5</v>
      </c>
      <c r="C142" s="4">
        <v>34752</v>
      </c>
    </row>
    <row r="143" spans="1:3" x14ac:dyDescent="0.45">
      <c r="A143" s="3">
        <v>45919</v>
      </c>
      <c r="B143">
        <f t="shared" si="2"/>
        <v>6</v>
      </c>
      <c r="C143" s="4">
        <v>35306</v>
      </c>
    </row>
    <row r="144" spans="1:3" x14ac:dyDescent="0.45">
      <c r="A144" s="3">
        <v>45920</v>
      </c>
      <c r="B144">
        <f t="shared" si="2"/>
        <v>7</v>
      </c>
      <c r="C144" s="4">
        <v>39157</v>
      </c>
    </row>
    <row r="145" spans="1:3" x14ac:dyDescent="0.45">
      <c r="A145" s="3">
        <v>45921</v>
      </c>
      <c r="B145">
        <f t="shared" si="2"/>
        <v>1</v>
      </c>
      <c r="C145" s="4">
        <v>34248</v>
      </c>
    </row>
    <row r="146" spans="1:3" x14ac:dyDescent="0.45">
      <c r="A146" s="3">
        <v>45922</v>
      </c>
      <c r="B146">
        <f t="shared" si="2"/>
        <v>2</v>
      </c>
      <c r="C146" s="4">
        <v>30556</v>
      </c>
    </row>
    <row r="147" spans="1:3" x14ac:dyDescent="0.45">
      <c r="A147" s="3">
        <v>45923</v>
      </c>
      <c r="B147">
        <f t="shared" si="2"/>
        <v>3</v>
      </c>
      <c r="C147" s="4">
        <v>32926</v>
      </c>
    </row>
    <row r="148" spans="1:3" x14ac:dyDescent="0.45">
      <c r="A148" s="3">
        <v>45924</v>
      </c>
      <c r="B148">
        <f t="shared" si="2"/>
        <v>4</v>
      </c>
      <c r="C148" s="4">
        <v>32566</v>
      </c>
    </row>
    <row r="149" spans="1:3" x14ac:dyDescent="0.45">
      <c r="A149" s="3">
        <v>45925</v>
      </c>
      <c r="B149">
        <f t="shared" si="2"/>
        <v>5</v>
      </c>
      <c r="C149" s="4">
        <v>32568</v>
      </c>
    </row>
    <row r="150" spans="1:3" x14ac:dyDescent="0.45">
      <c r="A150" s="3">
        <v>45926</v>
      </c>
      <c r="B150">
        <f t="shared" si="2"/>
        <v>6</v>
      </c>
      <c r="C150" s="4">
        <v>35140</v>
      </c>
    </row>
    <row r="151" spans="1:3" x14ac:dyDescent="0.45">
      <c r="A151" s="3">
        <v>45927</v>
      </c>
      <c r="B151">
        <f t="shared" si="2"/>
        <v>7</v>
      </c>
      <c r="C151" s="4">
        <v>37759</v>
      </c>
    </row>
    <row r="152" spans="1:3" x14ac:dyDescent="0.45">
      <c r="A152" s="3">
        <v>45928</v>
      </c>
      <c r="B152">
        <f t="shared" si="2"/>
        <v>1</v>
      </c>
      <c r="C152" s="4">
        <v>35113</v>
      </c>
    </row>
    <row r="153" spans="1:3" x14ac:dyDescent="0.45">
      <c r="A153" s="3">
        <v>45929</v>
      </c>
      <c r="B153">
        <f t="shared" si="2"/>
        <v>2</v>
      </c>
      <c r="C153" s="4">
        <v>30756</v>
      </c>
    </row>
    <row r="154" spans="1:3" x14ac:dyDescent="0.45">
      <c r="A154" s="3">
        <v>45930</v>
      </c>
      <c r="B154">
        <f t="shared" si="2"/>
        <v>3</v>
      </c>
      <c r="C154" s="4">
        <v>32662</v>
      </c>
    </row>
    <row r="155" spans="1:3" x14ac:dyDescent="0.45">
      <c r="A155" s="3">
        <v>45931</v>
      </c>
      <c r="B155">
        <f t="shared" si="2"/>
        <v>4</v>
      </c>
      <c r="C155" s="4">
        <v>32250</v>
      </c>
    </row>
    <row r="156" spans="1:3" x14ac:dyDescent="0.45">
      <c r="A156" s="3">
        <v>45932</v>
      </c>
      <c r="B156">
        <f t="shared" si="2"/>
        <v>5</v>
      </c>
      <c r="C156" s="4">
        <v>34341</v>
      </c>
    </row>
    <row r="157" spans="1:3" x14ac:dyDescent="0.45">
      <c r="A157" s="3">
        <v>45933</v>
      </c>
      <c r="B157">
        <f t="shared" si="2"/>
        <v>6</v>
      </c>
      <c r="C157" s="4">
        <v>36125</v>
      </c>
    </row>
    <row r="158" spans="1:3" x14ac:dyDescent="0.45">
      <c r="A158" s="3">
        <v>45934</v>
      </c>
      <c r="B158">
        <f t="shared" si="2"/>
        <v>7</v>
      </c>
      <c r="C158" s="4">
        <v>38174</v>
      </c>
    </row>
    <row r="159" spans="1:3" x14ac:dyDescent="0.45">
      <c r="A159" s="3">
        <v>45935</v>
      </c>
      <c r="B159">
        <f t="shared" si="2"/>
        <v>1</v>
      </c>
      <c r="C159" s="4">
        <v>35047</v>
      </c>
    </row>
    <row r="160" spans="1:3" x14ac:dyDescent="0.45">
      <c r="A160" s="3">
        <v>45936</v>
      </c>
      <c r="B160">
        <f t="shared" si="2"/>
        <v>2</v>
      </c>
      <c r="C160" s="4">
        <v>30272</v>
      </c>
    </row>
    <row r="161" spans="1:3" x14ac:dyDescent="0.45">
      <c r="A161" s="3">
        <v>45937</v>
      </c>
      <c r="B161">
        <f t="shared" si="2"/>
        <v>3</v>
      </c>
      <c r="C161" s="4">
        <v>33382</v>
      </c>
    </row>
    <row r="162" spans="1:3" x14ac:dyDescent="0.45">
      <c r="A162" s="3">
        <v>45938</v>
      </c>
      <c r="B162">
        <f t="shared" si="2"/>
        <v>4</v>
      </c>
      <c r="C162" s="4">
        <v>33731</v>
      </c>
    </row>
    <row r="163" spans="1:3" x14ac:dyDescent="0.45">
      <c r="A163" s="3">
        <v>45939</v>
      </c>
      <c r="B163">
        <f t="shared" si="2"/>
        <v>5</v>
      </c>
      <c r="C163" s="4">
        <v>34762</v>
      </c>
    </row>
    <row r="164" spans="1:3" x14ac:dyDescent="0.45">
      <c r="A164" s="3">
        <v>45940</v>
      </c>
      <c r="B164">
        <f t="shared" si="2"/>
        <v>6</v>
      </c>
      <c r="C164" s="4">
        <v>33500</v>
      </c>
    </row>
    <row r="165" spans="1:3" x14ac:dyDescent="0.45">
      <c r="A165" s="3">
        <v>45941</v>
      </c>
      <c r="B165">
        <f t="shared" si="2"/>
        <v>7</v>
      </c>
      <c r="C165" s="4">
        <v>36604</v>
      </c>
    </row>
    <row r="166" spans="1:3" x14ac:dyDescent="0.45">
      <c r="A166" s="3">
        <v>45942</v>
      </c>
      <c r="B166">
        <f t="shared" si="2"/>
        <v>1</v>
      </c>
      <c r="C166" s="4">
        <v>34503</v>
      </c>
    </row>
    <row r="167" spans="1:3" x14ac:dyDescent="0.45">
      <c r="A167" s="3">
        <v>45943</v>
      </c>
      <c r="B167">
        <f t="shared" si="2"/>
        <v>2</v>
      </c>
      <c r="C167" s="4">
        <v>32038</v>
      </c>
    </row>
    <row r="168" spans="1:3" x14ac:dyDescent="0.45">
      <c r="A168" s="3">
        <v>45944</v>
      </c>
      <c r="B168">
        <f t="shared" si="2"/>
        <v>3</v>
      </c>
      <c r="C168" s="4">
        <v>31031</v>
      </c>
    </row>
    <row r="169" spans="1:3" x14ac:dyDescent="0.45">
      <c r="A169" s="3">
        <v>45945</v>
      </c>
      <c r="B169">
        <f t="shared" si="2"/>
        <v>4</v>
      </c>
      <c r="C169" s="4">
        <v>31978</v>
      </c>
    </row>
    <row r="170" spans="1:3" x14ac:dyDescent="0.45">
      <c r="A170" s="3">
        <v>45946</v>
      </c>
      <c r="B170">
        <f t="shared" si="2"/>
        <v>5</v>
      </c>
      <c r="C170" s="4">
        <v>32639</v>
      </c>
    </row>
    <row r="171" spans="1:3" x14ac:dyDescent="0.45">
      <c r="A171" s="3">
        <v>45947</v>
      </c>
      <c r="B171">
        <f t="shared" si="2"/>
        <v>6</v>
      </c>
      <c r="C171" s="4">
        <v>61811</v>
      </c>
    </row>
    <row r="172" spans="1:3" x14ac:dyDescent="0.45">
      <c r="A172" s="3">
        <v>45948</v>
      </c>
      <c r="B172">
        <f t="shared" si="2"/>
        <v>7</v>
      </c>
      <c r="C172" s="4">
        <v>68354</v>
      </c>
    </row>
    <row r="173" spans="1:3" x14ac:dyDescent="0.45">
      <c r="A173" s="3">
        <v>45949</v>
      </c>
      <c r="B173">
        <f t="shared" si="2"/>
        <v>1</v>
      </c>
      <c r="C173" s="4">
        <v>65350</v>
      </c>
    </row>
    <row r="174" spans="1:3" x14ac:dyDescent="0.45">
      <c r="A174" s="3">
        <v>45950</v>
      </c>
      <c r="B174">
        <f t="shared" si="2"/>
        <v>2</v>
      </c>
      <c r="C174" s="4">
        <v>58054</v>
      </c>
    </row>
    <row r="175" spans="1:3" x14ac:dyDescent="0.45">
      <c r="A175" s="3">
        <v>45951</v>
      </c>
      <c r="B175">
        <f t="shared" si="2"/>
        <v>3</v>
      </c>
      <c r="C175" s="4">
        <v>59008</v>
      </c>
    </row>
    <row r="176" spans="1:3" x14ac:dyDescent="0.45">
      <c r="A176" s="3">
        <v>45952</v>
      </c>
      <c r="B176">
        <f t="shared" si="2"/>
        <v>4</v>
      </c>
      <c r="C176" s="4">
        <v>61760</v>
      </c>
    </row>
    <row r="177" spans="1:3" x14ac:dyDescent="0.45">
      <c r="A177" s="3">
        <v>45953</v>
      </c>
      <c r="B177">
        <f t="shared" si="2"/>
        <v>5</v>
      </c>
      <c r="C177" s="4">
        <v>62524</v>
      </c>
    </row>
    <row r="178" spans="1:3" x14ac:dyDescent="0.45">
      <c r="A178" s="3">
        <v>45954</v>
      </c>
      <c r="B178">
        <f t="shared" si="2"/>
        <v>6</v>
      </c>
      <c r="C178" s="4">
        <v>35640</v>
      </c>
    </row>
    <row r="179" spans="1:3" x14ac:dyDescent="0.45">
      <c r="A179" s="3">
        <v>45955</v>
      </c>
      <c r="B179">
        <f t="shared" si="2"/>
        <v>7</v>
      </c>
      <c r="C179" s="4">
        <v>39041</v>
      </c>
    </row>
    <row r="180" spans="1:3" x14ac:dyDescent="0.45">
      <c r="A180" s="3">
        <v>45956</v>
      </c>
      <c r="B180">
        <f t="shared" si="2"/>
        <v>1</v>
      </c>
      <c r="C180" s="4">
        <v>34990</v>
      </c>
    </row>
    <row r="181" spans="1:3" x14ac:dyDescent="0.45">
      <c r="A181" s="3">
        <v>45957</v>
      </c>
      <c r="B181">
        <f t="shared" si="2"/>
        <v>2</v>
      </c>
      <c r="C181" s="4">
        <v>31408</v>
      </c>
    </row>
    <row r="182" spans="1:3" x14ac:dyDescent="0.45">
      <c r="A182" s="3">
        <v>45958</v>
      </c>
      <c r="B182">
        <f t="shared" si="2"/>
        <v>3</v>
      </c>
      <c r="C182" s="4">
        <v>32458</v>
      </c>
    </row>
    <row r="183" spans="1:3" x14ac:dyDescent="0.45">
      <c r="A183" s="3">
        <v>45959</v>
      </c>
      <c r="B183">
        <f t="shared" si="2"/>
        <v>4</v>
      </c>
      <c r="C183" s="4">
        <v>33216</v>
      </c>
    </row>
    <row r="184" spans="1:3" x14ac:dyDescent="0.45">
      <c r="A184" s="3">
        <v>45960</v>
      </c>
      <c r="B184">
        <f t="shared" si="2"/>
        <v>5</v>
      </c>
      <c r="C184" s="4">
        <v>35222</v>
      </c>
    </row>
    <row r="185" spans="1:3" x14ac:dyDescent="0.45">
      <c r="A185" s="3">
        <v>45961</v>
      </c>
      <c r="B185">
        <f t="shared" si="2"/>
        <v>6</v>
      </c>
      <c r="C185" s="4">
        <v>35929</v>
      </c>
    </row>
    <row r="186" spans="1:3" x14ac:dyDescent="0.45">
      <c r="A186" s="3">
        <v>45962</v>
      </c>
      <c r="B186">
        <f t="shared" si="2"/>
        <v>7</v>
      </c>
      <c r="C186" s="4">
        <v>37649</v>
      </c>
    </row>
    <row r="187" spans="1:3" x14ac:dyDescent="0.45">
      <c r="A187" s="3">
        <v>45963</v>
      </c>
      <c r="B187">
        <f t="shared" si="2"/>
        <v>1</v>
      </c>
      <c r="C187" s="4">
        <v>36028</v>
      </c>
    </row>
    <row r="188" spans="1:3" x14ac:dyDescent="0.45">
      <c r="A188" s="3">
        <v>45964</v>
      </c>
      <c r="B188">
        <f t="shared" si="2"/>
        <v>2</v>
      </c>
      <c r="C188" s="4">
        <v>30221</v>
      </c>
    </row>
    <row r="189" spans="1:3" x14ac:dyDescent="0.45">
      <c r="A189" s="3">
        <v>45965</v>
      </c>
      <c r="B189">
        <f t="shared" si="2"/>
        <v>3</v>
      </c>
      <c r="C189" s="4">
        <v>31684</v>
      </c>
    </row>
    <row r="190" spans="1:3" x14ac:dyDescent="0.45">
      <c r="A190" s="3">
        <v>45966</v>
      </c>
      <c r="B190">
        <f t="shared" si="2"/>
        <v>4</v>
      </c>
      <c r="C190" s="4">
        <v>32213</v>
      </c>
    </row>
    <row r="191" spans="1:3" x14ac:dyDescent="0.45">
      <c r="A191" s="3">
        <v>45967</v>
      </c>
      <c r="B191">
        <f t="shared" si="2"/>
        <v>5</v>
      </c>
      <c r="C191" s="4">
        <v>34508</v>
      </c>
    </row>
    <row r="192" spans="1:3" x14ac:dyDescent="0.45">
      <c r="A192" s="3">
        <v>45968</v>
      </c>
      <c r="B192">
        <f t="shared" si="2"/>
        <v>6</v>
      </c>
      <c r="C192" s="4">
        <v>35855</v>
      </c>
    </row>
    <row r="193" spans="1:3" x14ac:dyDescent="0.45">
      <c r="A193" s="3">
        <v>45969</v>
      </c>
      <c r="B193">
        <f t="shared" si="2"/>
        <v>7</v>
      </c>
      <c r="C193" s="4">
        <v>38939</v>
      </c>
    </row>
    <row r="194" spans="1:3" x14ac:dyDescent="0.45">
      <c r="A194" s="3">
        <v>45970</v>
      </c>
      <c r="B194">
        <f t="shared" ref="B194:B257" si="3">WEEKDAY(A194,1)</f>
        <v>1</v>
      </c>
      <c r="C194" s="4">
        <v>36544</v>
      </c>
    </row>
    <row r="195" spans="1:3" x14ac:dyDescent="0.45">
      <c r="A195" s="3">
        <v>45971</v>
      </c>
      <c r="B195">
        <f t="shared" si="3"/>
        <v>2</v>
      </c>
      <c r="C195" s="4">
        <v>32436</v>
      </c>
    </row>
    <row r="196" spans="1:3" x14ac:dyDescent="0.45">
      <c r="A196" s="3">
        <v>45972</v>
      </c>
      <c r="B196">
        <f t="shared" si="3"/>
        <v>3</v>
      </c>
      <c r="C196" s="4">
        <v>33418</v>
      </c>
    </row>
    <row r="197" spans="1:3" x14ac:dyDescent="0.45">
      <c r="A197" s="3">
        <v>45973</v>
      </c>
      <c r="B197">
        <f t="shared" si="3"/>
        <v>4</v>
      </c>
      <c r="C197" s="4">
        <v>32403</v>
      </c>
    </row>
    <row r="198" spans="1:3" x14ac:dyDescent="0.45">
      <c r="A198" s="3">
        <v>45974</v>
      </c>
      <c r="B198">
        <f t="shared" si="3"/>
        <v>5</v>
      </c>
      <c r="C198" s="4">
        <v>33400</v>
      </c>
    </row>
    <row r="199" spans="1:3" x14ac:dyDescent="0.45">
      <c r="A199" s="3">
        <v>45975</v>
      </c>
      <c r="B199">
        <f t="shared" si="3"/>
        <v>6</v>
      </c>
      <c r="C199" s="4">
        <v>33580</v>
      </c>
    </row>
    <row r="200" spans="1:3" x14ac:dyDescent="0.45">
      <c r="A200" s="3">
        <v>45976</v>
      </c>
      <c r="B200">
        <f t="shared" si="3"/>
        <v>7</v>
      </c>
      <c r="C200" s="4">
        <v>38482</v>
      </c>
    </row>
    <row r="201" spans="1:3" x14ac:dyDescent="0.45">
      <c r="A201" s="3">
        <v>45977</v>
      </c>
      <c r="B201">
        <f t="shared" si="3"/>
        <v>1</v>
      </c>
      <c r="C201" s="4">
        <v>35562</v>
      </c>
    </row>
    <row r="202" spans="1:3" x14ac:dyDescent="0.45">
      <c r="A202" s="3">
        <v>45978</v>
      </c>
      <c r="B202">
        <f t="shared" si="3"/>
        <v>2</v>
      </c>
      <c r="C202" s="4">
        <v>31299</v>
      </c>
    </row>
    <row r="203" spans="1:3" x14ac:dyDescent="0.45">
      <c r="A203" s="3">
        <v>45979</v>
      </c>
      <c r="B203">
        <f t="shared" si="3"/>
        <v>3</v>
      </c>
      <c r="C203" s="4">
        <v>32401</v>
      </c>
    </row>
    <row r="204" spans="1:3" x14ac:dyDescent="0.45">
      <c r="A204" s="3">
        <v>45980</v>
      </c>
      <c r="B204">
        <f t="shared" si="3"/>
        <v>4</v>
      </c>
      <c r="C204" s="4">
        <v>33088</v>
      </c>
    </row>
    <row r="205" spans="1:3" x14ac:dyDescent="0.45">
      <c r="A205" s="3">
        <v>45981</v>
      </c>
      <c r="B205">
        <f t="shared" si="3"/>
        <v>5</v>
      </c>
      <c r="C205" s="4">
        <v>33809</v>
      </c>
    </row>
    <row r="206" spans="1:3" x14ac:dyDescent="0.45">
      <c r="A206" s="3">
        <v>45982</v>
      </c>
      <c r="B206">
        <f t="shared" si="3"/>
        <v>6</v>
      </c>
      <c r="C206" s="4">
        <v>35834</v>
      </c>
    </row>
    <row r="207" spans="1:3" x14ac:dyDescent="0.45">
      <c r="A207" s="3">
        <v>45983</v>
      </c>
      <c r="B207">
        <f t="shared" si="3"/>
        <v>7</v>
      </c>
      <c r="C207" s="4">
        <v>38581</v>
      </c>
    </row>
    <row r="208" spans="1:3" x14ac:dyDescent="0.45">
      <c r="A208" s="3">
        <v>45984</v>
      </c>
      <c r="B208">
        <f t="shared" si="3"/>
        <v>1</v>
      </c>
      <c r="C208" s="4">
        <v>36900</v>
      </c>
    </row>
    <row r="209" spans="1:3" x14ac:dyDescent="0.45">
      <c r="A209" s="3">
        <v>45985</v>
      </c>
      <c r="B209">
        <f t="shared" si="3"/>
        <v>2</v>
      </c>
      <c r="C209" s="4">
        <v>31378</v>
      </c>
    </row>
    <row r="210" spans="1:3" x14ac:dyDescent="0.45">
      <c r="A210" s="3">
        <v>45986</v>
      </c>
      <c r="B210">
        <f t="shared" si="3"/>
        <v>3</v>
      </c>
      <c r="C210" s="4">
        <v>33248</v>
      </c>
    </row>
    <row r="211" spans="1:3" x14ac:dyDescent="0.45">
      <c r="A211" s="3">
        <v>45987</v>
      </c>
      <c r="B211">
        <f t="shared" si="3"/>
        <v>4</v>
      </c>
      <c r="C211" s="4">
        <v>32403</v>
      </c>
    </row>
    <row r="212" spans="1:3" x14ac:dyDescent="0.45">
      <c r="A212" s="3">
        <v>45988</v>
      </c>
      <c r="B212">
        <f t="shared" si="3"/>
        <v>5</v>
      </c>
      <c r="C212" s="4">
        <v>32674</v>
      </c>
    </row>
    <row r="213" spans="1:3" x14ac:dyDescent="0.45">
      <c r="A213" s="3">
        <v>45989</v>
      </c>
      <c r="B213">
        <f t="shared" si="3"/>
        <v>6</v>
      </c>
      <c r="C213" s="4">
        <v>34636</v>
      </c>
    </row>
    <row r="214" spans="1:3" x14ac:dyDescent="0.45">
      <c r="A214" s="3">
        <v>45990</v>
      </c>
      <c r="B214">
        <f t="shared" si="3"/>
        <v>7</v>
      </c>
      <c r="C214" s="4">
        <v>38898</v>
      </c>
    </row>
    <row r="215" spans="1:3" x14ac:dyDescent="0.45">
      <c r="A215" s="3">
        <v>45991</v>
      </c>
      <c r="B215">
        <f t="shared" si="3"/>
        <v>1</v>
      </c>
      <c r="C215" s="4">
        <v>35482</v>
      </c>
    </row>
    <row r="216" spans="1:3" x14ac:dyDescent="0.45">
      <c r="A216" s="3">
        <v>45992</v>
      </c>
      <c r="B216">
        <f t="shared" si="3"/>
        <v>2</v>
      </c>
      <c r="C216" s="4">
        <v>32323</v>
      </c>
    </row>
    <row r="217" spans="1:3" x14ac:dyDescent="0.45">
      <c r="A217" s="3">
        <v>45993</v>
      </c>
      <c r="B217">
        <f t="shared" si="3"/>
        <v>3</v>
      </c>
      <c r="C217" s="4">
        <v>31166</v>
      </c>
    </row>
    <row r="218" spans="1:3" x14ac:dyDescent="0.45">
      <c r="A218" s="3">
        <v>45994</v>
      </c>
      <c r="B218">
        <f t="shared" si="3"/>
        <v>4</v>
      </c>
      <c r="C218" s="4">
        <v>34439</v>
      </c>
    </row>
    <row r="219" spans="1:3" x14ac:dyDescent="0.45">
      <c r="A219" s="3">
        <v>45995</v>
      </c>
      <c r="B219">
        <f t="shared" si="3"/>
        <v>5</v>
      </c>
      <c r="C219" s="4">
        <v>34407</v>
      </c>
    </row>
    <row r="220" spans="1:3" x14ac:dyDescent="0.45">
      <c r="A220" s="3">
        <v>45996</v>
      </c>
      <c r="B220">
        <f t="shared" si="3"/>
        <v>6</v>
      </c>
      <c r="C220" s="4">
        <v>34873</v>
      </c>
    </row>
    <row r="221" spans="1:3" x14ac:dyDescent="0.45">
      <c r="A221" s="3">
        <v>45997</v>
      </c>
      <c r="B221">
        <f t="shared" si="3"/>
        <v>7</v>
      </c>
      <c r="C221" s="4">
        <v>38933</v>
      </c>
    </row>
    <row r="222" spans="1:3" x14ac:dyDescent="0.45">
      <c r="A222" s="3">
        <v>45998</v>
      </c>
      <c r="B222">
        <f t="shared" si="3"/>
        <v>1</v>
      </c>
      <c r="C222" s="4">
        <v>36237</v>
      </c>
    </row>
    <row r="223" spans="1:3" x14ac:dyDescent="0.45">
      <c r="A223" s="3">
        <v>45999</v>
      </c>
      <c r="B223">
        <f t="shared" si="3"/>
        <v>2</v>
      </c>
      <c r="C223" s="4">
        <v>30540</v>
      </c>
    </row>
    <row r="224" spans="1:3" x14ac:dyDescent="0.45">
      <c r="A224" s="3">
        <v>46000</v>
      </c>
      <c r="B224">
        <f t="shared" si="3"/>
        <v>3</v>
      </c>
      <c r="C224" s="4">
        <v>31605</v>
      </c>
    </row>
    <row r="225" spans="1:3" x14ac:dyDescent="0.45">
      <c r="A225" s="3">
        <v>46001</v>
      </c>
      <c r="B225">
        <f t="shared" si="3"/>
        <v>4</v>
      </c>
      <c r="C225" s="4">
        <v>32550</v>
      </c>
    </row>
    <row r="226" spans="1:3" x14ac:dyDescent="0.45">
      <c r="A226" s="3">
        <v>46002</v>
      </c>
      <c r="B226">
        <f t="shared" si="3"/>
        <v>5</v>
      </c>
      <c r="C226" s="4">
        <v>34877</v>
      </c>
    </row>
    <row r="227" spans="1:3" x14ac:dyDescent="0.45">
      <c r="A227" s="3">
        <v>46003</v>
      </c>
      <c r="B227">
        <f t="shared" si="3"/>
        <v>6</v>
      </c>
      <c r="C227" s="4">
        <v>34510</v>
      </c>
    </row>
    <row r="228" spans="1:3" x14ac:dyDescent="0.45">
      <c r="A228" s="3">
        <v>46004</v>
      </c>
      <c r="B228">
        <f t="shared" si="3"/>
        <v>7</v>
      </c>
      <c r="C228" s="4">
        <v>37256</v>
      </c>
    </row>
    <row r="229" spans="1:3" x14ac:dyDescent="0.45">
      <c r="A229" s="3">
        <v>46005</v>
      </c>
      <c r="B229">
        <f t="shared" si="3"/>
        <v>1</v>
      </c>
      <c r="C229" s="4">
        <v>36945</v>
      </c>
    </row>
    <row r="230" spans="1:3" x14ac:dyDescent="0.45">
      <c r="A230" s="3">
        <v>46006</v>
      </c>
      <c r="B230">
        <f t="shared" si="3"/>
        <v>2</v>
      </c>
      <c r="C230" s="4">
        <v>32011</v>
      </c>
    </row>
    <row r="231" spans="1:3" x14ac:dyDescent="0.45">
      <c r="A231" s="3">
        <v>46007</v>
      </c>
      <c r="B231">
        <f t="shared" si="3"/>
        <v>3</v>
      </c>
      <c r="C231" s="4">
        <v>32542</v>
      </c>
    </row>
    <row r="232" spans="1:3" x14ac:dyDescent="0.45">
      <c r="A232" s="3">
        <v>46008</v>
      </c>
      <c r="B232">
        <f t="shared" si="3"/>
        <v>4</v>
      </c>
      <c r="C232" s="4">
        <v>33833</v>
      </c>
    </row>
    <row r="233" spans="1:3" x14ac:dyDescent="0.45">
      <c r="A233" s="3">
        <v>46009</v>
      </c>
      <c r="B233">
        <f t="shared" si="3"/>
        <v>5</v>
      </c>
      <c r="C233" s="4">
        <v>34155</v>
      </c>
    </row>
    <row r="234" spans="1:3" x14ac:dyDescent="0.45">
      <c r="A234" s="3">
        <v>46010</v>
      </c>
      <c r="B234">
        <f t="shared" si="3"/>
        <v>6</v>
      </c>
      <c r="C234" s="4">
        <v>34983</v>
      </c>
    </row>
    <row r="235" spans="1:3" x14ac:dyDescent="0.45">
      <c r="A235" s="3">
        <v>46011</v>
      </c>
      <c r="B235">
        <f t="shared" si="3"/>
        <v>7</v>
      </c>
      <c r="C235" s="4">
        <v>37609</v>
      </c>
    </row>
    <row r="236" spans="1:3" x14ac:dyDescent="0.45">
      <c r="A236" s="3">
        <v>46012</v>
      </c>
      <c r="B236">
        <f t="shared" si="3"/>
        <v>1</v>
      </c>
      <c r="C236" s="4">
        <v>36827</v>
      </c>
    </row>
    <row r="237" spans="1:3" x14ac:dyDescent="0.45">
      <c r="A237" s="3">
        <v>46013</v>
      </c>
      <c r="B237">
        <f t="shared" si="3"/>
        <v>2</v>
      </c>
      <c r="C237" s="4">
        <v>32590</v>
      </c>
    </row>
    <row r="238" spans="1:3" x14ac:dyDescent="0.45">
      <c r="A238" s="3">
        <v>46014</v>
      </c>
      <c r="B238">
        <f t="shared" si="3"/>
        <v>3</v>
      </c>
      <c r="C238" s="4">
        <v>33565</v>
      </c>
    </row>
    <row r="239" spans="1:3" x14ac:dyDescent="0.45">
      <c r="A239" s="3">
        <v>46015</v>
      </c>
      <c r="B239">
        <f t="shared" si="3"/>
        <v>4</v>
      </c>
      <c r="C239" s="4">
        <v>34702</v>
      </c>
    </row>
    <row r="240" spans="1:3" x14ac:dyDescent="0.45">
      <c r="A240" s="3">
        <v>46016</v>
      </c>
      <c r="B240">
        <f t="shared" si="3"/>
        <v>5</v>
      </c>
      <c r="C240" s="4">
        <v>34792</v>
      </c>
    </row>
    <row r="241" spans="1:3" x14ac:dyDescent="0.45">
      <c r="A241" s="3">
        <v>46017</v>
      </c>
      <c r="B241">
        <f t="shared" si="3"/>
        <v>6</v>
      </c>
      <c r="C241" s="4">
        <v>34385</v>
      </c>
    </row>
    <row r="242" spans="1:3" x14ac:dyDescent="0.45">
      <c r="A242" s="3">
        <v>46018</v>
      </c>
      <c r="B242">
        <f t="shared" si="3"/>
        <v>7</v>
      </c>
      <c r="C242" s="4">
        <v>39425</v>
      </c>
    </row>
    <row r="243" spans="1:3" x14ac:dyDescent="0.45">
      <c r="A243" s="3">
        <v>46019</v>
      </c>
      <c r="B243">
        <f t="shared" si="3"/>
        <v>1</v>
      </c>
      <c r="C243" s="4">
        <v>35459</v>
      </c>
    </row>
    <row r="244" spans="1:3" x14ac:dyDescent="0.45">
      <c r="A244" s="3">
        <v>46020</v>
      </c>
      <c r="B244">
        <f t="shared" si="3"/>
        <v>2</v>
      </c>
      <c r="C244" s="4">
        <v>32494</v>
      </c>
    </row>
    <row r="245" spans="1:3" x14ac:dyDescent="0.45">
      <c r="A245" s="3">
        <v>46021</v>
      </c>
      <c r="B245">
        <f t="shared" si="3"/>
        <v>3</v>
      </c>
      <c r="C245" s="4">
        <v>33294</v>
      </c>
    </row>
    <row r="246" spans="1:3" x14ac:dyDescent="0.45">
      <c r="A246" s="3">
        <v>46022</v>
      </c>
      <c r="B246">
        <f t="shared" si="3"/>
        <v>4</v>
      </c>
      <c r="C246" s="4">
        <v>33018</v>
      </c>
    </row>
    <row r="247" spans="1:3" x14ac:dyDescent="0.45">
      <c r="A247" s="3">
        <v>46023</v>
      </c>
      <c r="B247">
        <f t="shared" si="3"/>
        <v>5</v>
      </c>
      <c r="C247" s="4">
        <v>35344</v>
      </c>
    </row>
    <row r="248" spans="1:3" x14ac:dyDescent="0.45">
      <c r="A248" s="3">
        <v>46024</v>
      </c>
      <c r="B248">
        <f t="shared" si="3"/>
        <v>6</v>
      </c>
      <c r="C248" s="4">
        <v>34651</v>
      </c>
    </row>
    <row r="249" spans="1:3" x14ac:dyDescent="0.45">
      <c r="A249" s="3">
        <v>46025</v>
      </c>
      <c r="B249">
        <f t="shared" si="3"/>
        <v>7</v>
      </c>
      <c r="C249" s="4">
        <v>38751</v>
      </c>
    </row>
    <row r="250" spans="1:3" x14ac:dyDescent="0.45">
      <c r="A250" s="3">
        <v>46026</v>
      </c>
      <c r="B250">
        <f t="shared" si="3"/>
        <v>1</v>
      </c>
      <c r="C250" s="4">
        <v>35844</v>
      </c>
    </row>
    <row r="251" spans="1:3" x14ac:dyDescent="0.45">
      <c r="A251" s="3">
        <v>46027</v>
      </c>
      <c r="B251">
        <f t="shared" si="3"/>
        <v>2</v>
      </c>
      <c r="C251" s="4">
        <v>30891</v>
      </c>
    </row>
    <row r="252" spans="1:3" x14ac:dyDescent="0.45">
      <c r="A252" s="3">
        <v>46028</v>
      </c>
      <c r="B252">
        <f t="shared" si="3"/>
        <v>3</v>
      </c>
      <c r="C252" s="4">
        <v>33601</v>
      </c>
    </row>
    <row r="253" spans="1:3" x14ac:dyDescent="0.45">
      <c r="A253" s="3">
        <v>46029</v>
      </c>
      <c r="B253">
        <f t="shared" si="3"/>
        <v>4</v>
      </c>
      <c r="C253" s="4">
        <v>34011</v>
      </c>
    </row>
    <row r="254" spans="1:3" x14ac:dyDescent="0.45">
      <c r="A254" s="3">
        <v>46030</v>
      </c>
      <c r="B254">
        <f t="shared" si="3"/>
        <v>5</v>
      </c>
      <c r="C254" s="4">
        <v>33015</v>
      </c>
    </row>
    <row r="255" spans="1:3" x14ac:dyDescent="0.45">
      <c r="A255" s="3">
        <v>46031</v>
      </c>
      <c r="B255">
        <f t="shared" si="3"/>
        <v>6</v>
      </c>
      <c r="C255" s="4">
        <v>34892</v>
      </c>
    </row>
    <row r="256" spans="1:3" x14ac:dyDescent="0.45">
      <c r="A256" s="3">
        <v>46032</v>
      </c>
      <c r="B256">
        <f t="shared" si="3"/>
        <v>7</v>
      </c>
      <c r="C256" s="4">
        <v>36851</v>
      </c>
    </row>
    <row r="257" spans="1:3" x14ac:dyDescent="0.45">
      <c r="A257" s="3">
        <v>46033</v>
      </c>
      <c r="B257">
        <f t="shared" si="3"/>
        <v>1</v>
      </c>
      <c r="C257" s="4">
        <v>35094</v>
      </c>
    </row>
    <row r="258" spans="1:3" x14ac:dyDescent="0.45">
      <c r="A258" s="3">
        <v>46034</v>
      </c>
      <c r="B258">
        <f t="shared" ref="B258:B321" si="4">WEEKDAY(A258,1)</f>
        <v>2</v>
      </c>
      <c r="C258" s="4">
        <v>30577</v>
      </c>
    </row>
    <row r="259" spans="1:3" x14ac:dyDescent="0.45">
      <c r="A259" s="3">
        <v>46035</v>
      </c>
      <c r="B259">
        <f t="shared" si="4"/>
        <v>3</v>
      </c>
      <c r="C259" s="4">
        <v>33496</v>
      </c>
    </row>
    <row r="260" spans="1:3" x14ac:dyDescent="0.45">
      <c r="A260" s="3">
        <v>46036</v>
      </c>
      <c r="B260">
        <f t="shared" si="4"/>
        <v>4</v>
      </c>
      <c r="C260" s="4">
        <v>34256</v>
      </c>
    </row>
    <row r="261" spans="1:3" x14ac:dyDescent="0.45">
      <c r="A261" s="3">
        <v>46037</v>
      </c>
      <c r="B261">
        <f t="shared" si="4"/>
        <v>5</v>
      </c>
      <c r="C261" s="4">
        <v>34724</v>
      </c>
    </row>
    <row r="262" spans="1:3" x14ac:dyDescent="0.45">
      <c r="A262" s="3">
        <v>46038</v>
      </c>
      <c r="B262">
        <f t="shared" si="4"/>
        <v>6</v>
      </c>
      <c r="C262" s="4">
        <v>35268</v>
      </c>
    </row>
    <row r="263" spans="1:3" x14ac:dyDescent="0.45">
      <c r="A263" s="3">
        <v>46039</v>
      </c>
      <c r="B263">
        <f t="shared" si="4"/>
        <v>7</v>
      </c>
      <c r="C263" s="4">
        <v>39235</v>
      </c>
    </row>
    <row r="264" spans="1:3" x14ac:dyDescent="0.45">
      <c r="A264" s="3">
        <v>46040</v>
      </c>
      <c r="B264">
        <f t="shared" si="4"/>
        <v>1</v>
      </c>
      <c r="C264" s="4">
        <v>37019</v>
      </c>
    </row>
    <row r="265" spans="1:3" x14ac:dyDescent="0.45">
      <c r="A265" s="3">
        <v>46041</v>
      </c>
      <c r="B265">
        <f t="shared" si="4"/>
        <v>2</v>
      </c>
      <c r="C265" s="4">
        <v>30433</v>
      </c>
    </row>
    <row r="266" spans="1:3" x14ac:dyDescent="0.45">
      <c r="A266" s="3">
        <v>46042</v>
      </c>
      <c r="B266">
        <f t="shared" si="4"/>
        <v>3</v>
      </c>
      <c r="C266" s="4">
        <v>33344</v>
      </c>
    </row>
    <row r="267" spans="1:3" x14ac:dyDescent="0.45">
      <c r="A267" s="3">
        <v>46043</v>
      </c>
      <c r="B267">
        <f t="shared" si="4"/>
        <v>4</v>
      </c>
      <c r="C267" s="4">
        <v>34369</v>
      </c>
    </row>
    <row r="268" spans="1:3" x14ac:dyDescent="0.45">
      <c r="A268" s="3">
        <v>46044</v>
      </c>
      <c r="B268">
        <f t="shared" si="4"/>
        <v>5</v>
      </c>
      <c r="C268" s="4">
        <v>34186</v>
      </c>
    </row>
    <row r="269" spans="1:3" x14ac:dyDescent="0.45">
      <c r="A269" s="3">
        <v>46045</v>
      </c>
      <c r="B269">
        <f t="shared" si="4"/>
        <v>6</v>
      </c>
      <c r="C269" s="4">
        <v>35972</v>
      </c>
    </row>
    <row r="270" spans="1:3" x14ac:dyDescent="0.45">
      <c r="A270" s="3">
        <v>46046</v>
      </c>
      <c r="B270">
        <f t="shared" si="4"/>
        <v>7</v>
      </c>
      <c r="C270" s="4">
        <v>39230</v>
      </c>
    </row>
    <row r="271" spans="1:3" x14ac:dyDescent="0.45">
      <c r="A271" s="3">
        <v>46047</v>
      </c>
      <c r="B271">
        <f t="shared" si="4"/>
        <v>1</v>
      </c>
      <c r="C271" s="4">
        <v>37004</v>
      </c>
    </row>
    <row r="272" spans="1:3" x14ac:dyDescent="0.45">
      <c r="A272" s="3">
        <v>46048</v>
      </c>
      <c r="B272">
        <f t="shared" si="4"/>
        <v>2</v>
      </c>
      <c r="C272" s="4">
        <v>32514</v>
      </c>
    </row>
    <row r="273" spans="1:3" x14ac:dyDescent="0.45">
      <c r="A273" s="3">
        <v>46049</v>
      </c>
      <c r="B273">
        <f t="shared" si="4"/>
        <v>3</v>
      </c>
      <c r="C273" s="4">
        <v>33244</v>
      </c>
    </row>
    <row r="274" spans="1:3" x14ac:dyDescent="0.45">
      <c r="A274" s="3">
        <v>46050</v>
      </c>
      <c r="B274">
        <f t="shared" si="4"/>
        <v>4</v>
      </c>
      <c r="C274" s="4">
        <v>34249</v>
      </c>
    </row>
    <row r="275" spans="1:3" x14ac:dyDescent="0.45">
      <c r="A275" s="3">
        <v>46051</v>
      </c>
      <c r="B275">
        <f t="shared" si="4"/>
        <v>5</v>
      </c>
      <c r="C275" s="4">
        <v>34140</v>
      </c>
    </row>
    <row r="276" spans="1:3" x14ac:dyDescent="0.45">
      <c r="A276" s="3">
        <v>46052</v>
      </c>
      <c r="B276">
        <f t="shared" si="4"/>
        <v>6</v>
      </c>
      <c r="C276" s="4">
        <v>36122</v>
      </c>
    </row>
    <row r="277" spans="1:3" x14ac:dyDescent="0.45">
      <c r="A277" s="3">
        <v>46053</v>
      </c>
      <c r="B277">
        <f t="shared" si="4"/>
        <v>7</v>
      </c>
      <c r="C277" s="4">
        <v>37399</v>
      </c>
    </row>
    <row r="278" spans="1:3" x14ac:dyDescent="0.45">
      <c r="A278" s="3">
        <v>46054</v>
      </c>
      <c r="B278">
        <f t="shared" si="4"/>
        <v>1</v>
      </c>
      <c r="C278" s="4">
        <v>34878</v>
      </c>
    </row>
    <row r="279" spans="1:3" x14ac:dyDescent="0.45">
      <c r="A279" s="3">
        <v>46055</v>
      </c>
      <c r="B279">
        <f t="shared" si="4"/>
        <v>2</v>
      </c>
      <c r="C279" s="4">
        <v>30288</v>
      </c>
    </row>
    <row r="280" spans="1:3" x14ac:dyDescent="0.45">
      <c r="A280" s="3">
        <v>46056</v>
      </c>
      <c r="B280">
        <f t="shared" si="4"/>
        <v>3</v>
      </c>
      <c r="C280" s="4">
        <v>32781</v>
      </c>
    </row>
    <row r="281" spans="1:3" x14ac:dyDescent="0.45">
      <c r="A281" s="3">
        <v>46057</v>
      </c>
      <c r="B281">
        <f t="shared" si="4"/>
        <v>4</v>
      </c>
      <c r="C281" s="4">
        <v>33053</v>
      </c>
    </row>
    <row r="282" spans="1:3" x14ac:dyDescent="0.45">
      <c r="A282" s="3">
        <v>46058</v>
      </c>
      <c r="B282">
        <f t="shared" si="4"/>
        <v>5</v>
      </c>
      <c r="C282" s="4">
        <v>33935</v>
      </c>
    </row>
    <row r="283" spans="1:3" x14ac:dyDescent="0.45">
      <c r="A283" s="3">
        <v>46059</v>
      </c>
      <c r="B283">
        <f t="shared" si="4"/>
        <v>6</v>
      </c>
      <c r="C283" s="4">
        <v>35840</v>
      </c>
    </row>
    <row r="284" spans="1:3" x14ac:dyDescent="0.45">
      <c r="A284" s="3">
        <v>46060</v>
      </c>
      <c r="B284">
        <f t="shared" si="4"/>
        <v>7</v>
      </c>
      <c r="C284" s="4">
        <v>38462</v>
      </c>
    </row>
    <row r="285" spans="1:3" x14ac:dyDescent="0.45">
      <c r="A285" s="3">
        <v>46061</v>
      </c>
      <c r="B285">
        <f t="shared" si="4"/>
        <v>1</v>
      </c>
      <c r="C285" s="4">
        <v>36289</v>
      </c>
    </row>
    <row r="286" spans="1:3" x14ac:dyDescent="0.45">
      <c r="A286" s="3">
        <v>46062</v>
      </c>
      <c r="B286">
        <f t="shared" si="4"/>
        <v>2</v>
      </c>
      <c r="C286" s="4">
        <v>32051</v>
      </c>
    </row>
    <row r="287" spans="1:3" x14ac:dyDescent="0.45">
      <c r="A287" s="3">
        <v>46063</v>
      </c>
      <c r="B287">
        <f t="shared" si="4"/>
        <v>3</v>
      </c>
      <c r="C287" s="4">
        <v>33117</v>
      </c>
    </row>
    <row r="288" spans="1:3" x14ac:dyDescent="0.45">
      <c r="A288" s="3">
        <v>46064</v>
      </c>
      <c r="B288">
        <f t="shared" si="4"/>
        <v>4</v>
      </c>
      <c r="C288" s="4">
        <v>33512</v>
      </c>
    </row>
    <row r="289" spans="1:3" x14ac:dyDescent="0.45">
      <c r="A289" s="3">
        <v>46065</v>
      </c>
      <c r="B289">
        <f t="shared" si="4"/>
        <v>5</v>
      </c>
      <c r="C289" s="4">
        <v>33020</v>
      </c>
    </row>
    <row r="290" spans="1:3" x14ac:dyDescent="0.45">
      <c r="A290" s="3">
        <v>46066</v>
      </c>
      <c r="B290">
        <f t="shared" si="4"/>
        <v>6</v>
      </c>
      <c r="C290" s="4">
        <v>36002</v>
      </c>
    </row>
    <row r="291" spans="1:3" x14ac:dyDescent="0.45">
      <c r="A291" s="3">
        <v>46067</v>
      </c>
      <c r="B291">
        <f t="shared" si="4"/>
        <v>7</v>
      </c>
      <c r="C291" s="4">
        <v>37020</v>
      </c>
    </row>
    <row r="292" spans="1:3" x14ac:dyDescent="0.45">
      <c r="A292" s="3">
        <v>46068</v>
      </c>
      <c r="B292">
        <f t="shared" si="4"/>
        <v>1</v>
      </c>
      <c r="C292" s="4">
        <v>35996</v>
      </c>
    </row>
    <row r="293" spans="1:3" x14ac:dyDescent="0.45">
      <c r="A293" s="3">
        <v>46069</v>
      </c>
      <c r="B293">
        <f t="shared" si="4"/>
        <v>2</v>
      </c>
      <c r="C293" s="4">
        <v>30443</v>
      </c>
    </row>
    <row r="294" spans="1:3" x14ac:dyDescent="0.45">
      <c r="A294" s="3">
        <v>46070</v>
      </c>
      <c r="B294">
        <f t="shared" si="4"/>
        <v>3</v>
      </c>
      <c r="C294" s="4">
        <v>33691</v>
      </c>
    </row>
    <row r="295" spans="1:3" x14ac:dyDescent="0.45">
      <c r="A295" s="3">
        <v>46071</v>
      </c>
      <c r="B295">
        <f t="shared" si="4"/>
        <v>4</v>
      </c>
      <c r="C295" s="4">
        <v>33714</v>
      </c>
    </row>
    <row r="296" spans="1:3" x14ac:dyDescent="0.45">
      <c r="A296" s="3">
        <v>46072</v>
      </c>
      <c r="B296">
        <f t="shared" si="4"/>
        <v>5</v>
      </c>
      <c r="C296" s="4">
        <v>35541</v>
      </c>
    </row>
    <row r="297" spans="1:3" x14ac:dyDescent="0.45">
      <c r="A297" s="3">
        <v>46073</v>
      </c>
      <c r="B297">
        <f t="shared" si="4"/>
        <v>6</v>
      </c>
      <c r="C297" s="4">
        <v>35335</v>
      </c>
    </row>
    <row r="298" spans="1:3" x14ac:dyDescent="0.45">
      <c r="A298" s="3">
        <v>46074</v>
      </c>
      <c r="B298">
        <f t="shared" si="4"/>
        <v>7</v>
      </c>
      <c r="C298" s="4">
        <v>39137</v>
      </c>
    </row>
    <row r="299" spans="1:3" x14ac:dyDescent="0.45">
      <c r="A299" s="3">
        <v>46075</v>
      </c>
      <c r="B299">
        <f t="shared" si="4"/>
        <v>1</v>
      </c>
      <c r="C299" s="4">
        <v>36115</v>
      </c>
    </row>
    <row r="300" spans="1:3" x14ac:dyDescent="0.45">
      <c r="A300" s="3">
        <v>46076</v>
      </c>
      <c r="B300">
        <f t="shared" si="4"/>
        <v>2</v>
      </c>
      <c r="C300" s="4">
        <v>30956</v>
      </c>
    </row>
    <row r="301" spans="1:3" x14ac:dyDescent="0.45">
      <c r="A301" s="3">
        <v>46077</v>
      </c>
      <c r="B301">
        <f t="shared" si="4"/>
        <v>3</v>
      </c>
      <c r="C301" s="4">
        <v>32409</v>
      </c>
    </row>
    <row r="302" spans="1:3" x14ac:dyDescent="0.45">
      <c r="A302" s="3">
        <v>46078</v>
      </c>
      <c r="B302">
        <f t="shared" si="4"/>
        <v>4</v>
      </c>
      <c r="C302" s="4">
        <v>33938</v>
      </c>
    </row>
    <row r="303" spans="1:3" x14ac:dyDescent="0.45">
      <c r="A303" s="3">
        <v>46079</v>
      </c>
      <c r="B303">
        <f t="shared" si="4"/>
        <v>5</v>
      </c>
      <c r="C303" s="4">
        <v>33268</v>
      </c>
    </row>
    <row r="304" spans="1:3" x14ac:dyDescent="0.45">
      <c r="A304" s="3">
        <v>46080</v>
      </c>
      <c r="B304">
        <f t="shared" si="4"/>
        <v>6</v>
      </c>
      <c r="C304" s="4">
        <v>34347</v>
      </c>
    </row>
    <row r="305" spans="1:3" x14ac:dyDescent="0.45">
      <c r="A305" s="3">
        <v>46081</v>
      </c>
      <c r="B305">
        <f t="shared" si="4"/>
        <v>7</v>
      </c>
      <c r="C305" s="4">
        <v>38442</v>
      </c>
    </row>
    <row r="306" spans="1:3" x14ac:dyDescent="0.45">
      <c r="A306" s="3">
        <v>46082</v>
      </c>
      <c r="B306">
        <f t="shared" si="4"/>
        <v>1</v>
      </c>
      <c r="C306" s="4">
        <v>37327</v>
      </c>
    </row>
    <row r="307" spans="1:3" x14ac:dyDescent="0.45">
      <c r="A307" s="3">
        <v>46083</v>
      </c>
      <c r="B307">
        <f t="shared" si="4"/>
        <v>2</v>
      </c>
      <c r="C307" s="4">
        <v>30839</v>
      </c>
    </row>
    <row r="308" spans="1:3" x14ac:dyDescent="0.45">
      <c r="A308" s="3">
        <v>46084</v>
      </c>
      <c r="B308">
        <f t="shared" si="4"/>
        <v>3</v>
      </c>
      <c r="C308" s="4">
        <v>33049</v>
      </c>
    </row>
    <row r="309" spans="1:3" x14ac:dyDescent="0.45">
      <c r="A309" s="3">
        <v>46085</v>
      </c>
      <c r="B309">
        <f t="shared" si="4"/>
        <v>4</v>
      </c>
      <c r="C309" s="4">
        <v>34825</v>
      </c>
    </row>
    <row r="310" spans="1:3" x14ac:dyDescent="0.45">
      <c r="A310" s="3">
        <v>46086</v>
      </c>
      <c r="B310">
        <f t="shared" si="4"/>
        <v>5</v>
      </c>
      <c r="C310" s="4">
        <v>33889</v>
      </c>
    </row>
    <row r="311" spans="1:3" x14ac:dyDescent="0.45">
      <c r="A311" s="3">
        <v>46087</v>
      </c>
      <c r="B311">
        <f t="shared" si="4"/>
        <v>6</v>
      </c>
      <c r="C311" s="4">
        <v>34014</v>
      </c>
    </row>
    <row r="312" spans="1:3" x14ac:dyDescent="0.45">
      <c r="A312" s="3">
        <v>46088</v>
      </c>
      <c r="B312">
        <f t="shared" si="4"/>
        <v>7</v>
      </c>
      <c r="C312" s="4">
        <v>38078</v>
      </c>
    </row>
    <row r="313" spans="1:3" x14ac:dyDescent="0.45">
      <c r="A313" s="3">
        <v>46089</v>
      </c>
      <c r="B313">
        <f t="shared" si="4"/>
        <v>1</v>
      </c>
      <c r="C313" s="4">
        <v>37334</v>
      </c>
    </row>
    <row r="314" spans="1:3" x14ac:dyDescent="0.45">
      <c r="A314" s="3">
        <v>46090</v>
      </c>
      <c r="B314">
        <f t="shared" si="4"/>
        <v>2</v>
      </c>
      <c r="C314" s="4">
        <v>30878</v>
      </c>
    </row>
    <row r="315" spans="1:3" x14ac:dyDescent="0.45">
      <c r="A315" s="3">
        <v>46091</v>
      </c>
      <c r="B315">
        <f t="shared" si="4"/>
        <v>3</v>
      </c>
      <c r="C315" s="4">
        <v>32270</v>
      </c>
    </row>
    <row r="316" spans="1:3" x14ac:dyDescent="0.45">
      <c r="A316" s="3">
        <v>46092</v>
      </c>
      <c r="B316">
        <f t="shared" si="4"/>
        <v>4</v>
      </c>
      <c r="C316" s="4">
        <v>32346</v>
      </c>
    </row>
    <row r="317" spans="1:3" x14ac:dyDescent="0.45">
      <c r="A317" s="3">
        <v>46093</v>
      </c>
      <c r="B317">
        <f t="shared" si="4"/>
        <v>5</v>
      </c>
      <c r="C317" s="4">
        <v>34555</v>
      </c>
    </row>
    <row r="318" spans="1:3" x14ac:dyDescent="0.45">
      <c r="A318" s="3">
        <v>46094</v>
      </c>
      <c r="B318">
        <f t="shared" si="4"/>
        <v>6</v>
      </c>
      <c r="C318" s="4">
        <v>35641</v>
      </c>
    </row>
    <row r="319" spans="1:3" x14ac:dyDescent="0.45">
      <c r="A319" s="3">
        <v>46095</v>
      </c>
      <c r="B319">
        <f t="shared" si="4"/>
        <v>7</v>
      </c>
      <c r="C319" s="4">
        <v>38325</v>
      </c>
    </row>
    <row r="320" spans="1:3" x14ac:dyDescent="0.45">
      <c r="A320" s="3">
        <v>46096</v>
      </c>
      <c r="B320">
        <f t="shared" si="4"/>
        <v>1</v>
      </c>
      <c r="C320" s="4">
        <v>35640</v>
      </c>
    </row>
    <row r="321" spans="1:3" x14ac:dyDescent="0.45">
      <c r="A321" s="3">
        <v>46097</v>
      </c>
      <c r="B321">
        <f t="shared" si="4"/>
        <v>2</v>
      </c>
      <c r="C321" s="4">
        <v>31389</v>
      </c>
    </row>
    <row r="322" spans="1:3" x14ac:dyDescent="0.45">
      <c r="A322" s="3">
        <v>46098</v>
      </c>
      <c r="B322">
        <f t="shared" ref="B322:B385" si="5">WEEKDAY(A322,1)</f>
        <v>3</v>
      </c>
      <c r="C322" s="4">
        <v>33179</v>
      </c>
    </row>
    <row r="323" spans="1:3" x14ac:dyDescent="0.45">
      <c r="A323" s="3">
        <v>46099</v>
      </c>
      <c r="B323">
        <f t="shared" si="5"/>
        <v>4</v>
      </c>
      <c r="C323" s="4">
        <v>33197</v>
      </c>
    </row>
    <row r="324" spans="1:3" x14ac:dyDescent="0.45">
      <c r="A324" s="3">
        <v>46100</v>
      </c>
      <c r="B324">
        <f t="shared" si="5"/>
        <v>5</v>
      </c>
      <c r="C324" s="4">
        <v>33989</v>
      </c>
    </row>
    <row r="325" spans="1:3" x14ac:dyDescent="0.45">
      <c r="A325" s="3">
        <v>46101</v>
      </c>
      <c r="B325">
        <f t="shared" si="5"/>
        <v>6</v>
      </c>
      <c r="C325" s="4">
        <v>36281</v>
      </c>
    </row>
    <row r="326" spans="1:3" x14ac:dyDescent="0.45">
      <c r="A326" s="3">
        <v>46102</v>
      </c>
      <c r="B326">
        <f t="shared" si="5"/>
        <v>7</v>
      </c>
      <c r="C326" s="4">
        <v>39200</v>
      </c>
    </row>
    <row r="327" spans="1:3" x14ac:dyDescent="0.45">
      <c r="A327" s="3">
        <v>46103</v>
      </c>
      <c r="B327">
        <f t="shared" si="5"/>
        <v>1</v>
      </c>
      <c r="C327" s="4">
        <v>34656</v>
      </c>
    </row>
    <row r="328" spans="1:3" x14ac:dyDescent="0.45">
      <c r="A328" s="3">
        <v>46104</v>
      </c>
      <c r="B328">
        <f t="shared" si="5"/>
        <v>2</v>
      </c>
      <c r="C328" s="4">
        <v>32442</v>
      </c>
    </row>
    <row r="329" spans="1:3" x14ac:dyDescent="0.45">
      <c r="A329" s="3">
        <v>46105</v>
      </c>
      <c r="B329">
        <f t="shared" si="5"/>
        <v>3</v>
      </c>
      <c r="C329" s="4">
        <v>32291</v>
      </c>
    </row>
    <row r="330" spans="1:3" x14ac:dyDescent="0.45">
      <c r="A330" s="3">
        <v>46106</v>
      </c>
      <c r="B330">
        <f t="shared" si="5"/>
        <v>4</v>
      </c>
      <c r="C330" s="4">
        <v>32735</v>
      </c>
    </row>
    <row r="331" spans="1:3" x14ac:dyDescent="0.45">
      <c r="A331" s="3">
        <v>46107</v>
      </c>
      <c r="B331">
        <f t="shared" si="5"/>
        <v>5</v>
      </c>
      <c r="C331" s="4">
        <v>33250</v>
      </c>
    </row>
    <row r="332" spans="1:3" x14ac:dyDescent="0.45">
      <c r="A332" s="3">
        <v>46108</v>
      </c>
      <c r="B332">
        <f t="shared" si="5"/>
        <v>6</v>
      </c>
      <c r="C332" s="4">
        <v>35823</v>
      </c>
    </row>
    <row r="333" spans="1:3" x14ac:dyDescent="0.45">
      <c r="A333" s="3">
        <v>46109</v>
      </c>
      <c r="B333">
        <f t="shared" si="5"/>
        <v>7</v>
      </c>
      <c r="C333" s="4">
        <v>37815</v>
      </c>
    </row>
    <row r="334" spans="1:3" x14ac:dyDescent="0.45">
      <c r="A334" s="3">
        <v>46110</v>
      </c>
      <c r="B334">
        <f t="shared" si="5"/>
        <v>1</v>
      </c>
      <c r="C334" s="4">
        <v>36577</v>
      </c>
    </row>
    <row r="335" spans="1:3" x14ac:dyDescent="0.45">
      <c r="A335" s="3">
        <v>46111</v>
      </c>
      <c r="B335">
        <f t="shared" si="5"/>
        <v>2</v>
      </c>
      <c r="C335" s="4">
        <v>31439</v>
      </c>
    </row>
    <row r="336" spans="1:3" x14ac:dyDescent="0.45">
      <c r="A336" s="3">
        <v>46112</v>
      </c>
      <c r="B336">
        <f t="shared" si="5"/>
        <v>3</v>
      </c>
      <c r="C336" s="4">
        <v>33632</v>
      </c>
    </row>
    <row r="337" spans="1:3" x14ac:dyDescent="0.45">
      <c r="A337" s="3">
        <v>46113</v>
      </c>
      <c r="B337">
        <f t="shared" si="5"/>
        <v>4</v>
      </c>
      <c r="C337" s="4">
        <v>33647</v>
      </c>
    </row>
    <row r="338" spans="1:3" x14ac:dyDescent="0.45">
      <c r="A338" s="3">
        <v>46114</v>
      </c>
      <c r="B338">
        <f t="shared" si="5"/>
        <v>5</v>
      </c>
      <c r="C338" s="4">
        <v>35042</v>
      </c>
    </row>
    <row r="339" spans="1:3" x14ac:dyDescent="0.45">
      <c r="A339" s="3">
        <v>46115</v>
      </c>
      <c r="B339">
        <f t="shared" si="5"/>
        <v>6</v>
      </c>
      <c r="C339" s="4">
        <v>34021</v>
      </c>
    </row>
    <row r="340" spans="1:3" x14ac:dyDescent="0.45">
      <c r="A340" s="3">
        <v>46116</v>
      </c>
      <c r="B340">
        <f t="shared" si="5"/>
        <v>7</v>
      </c>
      <c r="C340" s="4">
        <v>37397</v>
      </c>
    </row>
    <row r="341" spans="1:3" x14ac:dyDescent="0.45">
      <c r="A341" s="3">
        <v>46117</v>
      </c>
      <c r="B341">
        <f t="shared" si="5"/>
        <v>1</v>
      </c>
      <c r="C341" s="4">
        <v>34881</v>
      </c>
    </row>
    <row r="342" spans="1:3" x14ac:dyDescent="0.45">
      <c r="A342" s="3">
        <v>46118</v>
      </c>
      <c r="B342">
        <f t="shared" si="5"/>
        <v>2</v>
      </c>
      <c r="C342" s="4">
        <v>30487</v>
      </c>
    </row>
    <row r="343" spans="1:3" x14ac:dyDescent="0.45">
      <c r="A343" s="3">
        <v>46119</v>
      </c>
      <c r="B343">
        <f t="shared" si="5"/>
        <v>3</v>
      </c>
      <c r="C343" s="4">
        <v>33270</v>
      </c>
    </row>
    <row r="344" spans="1:3" x14ac:dyDescent="0.45">
      <c r="A344" s="3">
        <v>46120</v>
      </c>
      <c r="B344">
        <f t="shared" si="5"/>
        <v>4</v>
      </c>
      <c r="C344" s="4">
        <v>33629</v>
      </c>
    </row>
    <row r="345" spans="1:3" x14ac:dyDescent="0.45">
      <c r="A345" s="3">
        <v>46121</v>
      </c>
      <c r="B345">
        <f t="shared" si="5"/>
        <v>5</v>
      </c>
      <c r="C345" s="4">
        <v>34414</v>
      </c>
    </row>
    <row r="346" spans="1:3" x14ac:dyDescent="0.45">
      <c r="A346" s="3">
        <v>46122</v>
      </c>
      <c r="B346">
        <f t="shared" si="5"/>
        <v>6</v>
      </c>
      <c r="C346" s="4">
        <v>34600</v>
      </c>
    </row>
    <row r="347" spans="1:3" x14ac:dyDescent="0.45">
      <c r="A347" s="3">
        <v>46123</v>
      </c>
      <c r="B347">
        <f t="shared" si="5"/>
        <v>7</v>
      </c>
      <c r="C347" s="4">
        <v>38967</v>
      </c>
    </row>
    <row r="348" spans="1:3" x14ac:dyDescent="0.45">
      <c r="A348" s="3">
        <v>46124</v>
      </c>
      <c r="B348">
        <f t="shared" si="5"/>
        <v>1</v>
      </c>
      <c r="C348" s="4">
        <v>37476</v>
      </c>
    </row>
    <row r="349" spans="1:3" x14ac:dyDescent="0.45">
      <c r="A349" s="3">
        <v>46125</v>
      </c>
      <c r="B349">
        <f t="shared" si="5"/>
        <v>2</v>
      </c>
      <c r="C349" s="4">
        <v>32164</v>
      </c>
    </row>
    <row r="350" spans="1:3" x14ac:dyDescent="0.45">
      <c r="A350" s="3">
        <v>46126</v>
      </c>
      <c r="B350">
        <f t="shared" si="5"/>
        <v>3</v>
      </c>
      <c r="C350" s="4">
        <v>31741</v>
      </c>
    </row>
    <row r="351" spans="1:3" x14ac:dyDescent="0.45">
      <c r="A351" s="3">
        <v>46127</v>
      </c>
      <c r="B351">
        <f t="shared" si="5"/>
        <v>4</v>
      </c>
      <c r="C351" s="4">
        <v>33692</v>
      </c>
    </row>
    <row r="352" spans="1:3" x14ac:dyDescent="0.45">
      <c r="A352" s="3">
        <v>46128</v>
      </c>
      <c r="B352">
        <f t="shared" si="5"/>
        <v>5</v>
      </c>
      <c r="C352" s="4">
        <v>33045</v>
      </c>
    </row>
    <row r="353" spans="1:3" x14ac:dyDescent="0.45">
      <c r="A353" s="3">
        <v>46129</v>
      </c>
      <c r="B353">
        <f t="shared" si="5"/>
        <v>6</v>
      </c>
      <c r="C353" s="4">
        <v>36002</v>
      </c>
    </row>
    <row r="354" spans="1:3" x14ac:dyDescent="0.45">
      <c r="A354" s="3">
        <v>46130</v>
      </c>
      <c r="B354">
        <f t="shared" si="5"/>
        <v>7</v>
      </c>
      <c r="C354" s="4">
        <v>39236</v>
      </c>
    </row>
    <row r="355" spans="1:3" x14ac:dyDescent="0.45">
      <c r="A355" s="3">
        <v>46131</v>
      </c>
      <c r="B355">
        <f t="shared" si="5"/>
        <v>1</v>
      </c>
      <c r="C355" s="4">
        <v>36664</v>
      </c>
    </row>
    <row r="356" spans="1:3" x14ac:dyDescent="0.45">
      <c r="A356" s="3">
        <v>46132</v>
      </c>
      <c r="B356">
        <f t="shared" si="5"/>
        <v>2</v>
      </c>
      <c r="C356" s="4">
        <v>31660</v>
      </c>
    </row>
    <row r="357" spans="1:3" x14ac:dyDescent="0.45">
      <c r="A357" s="3">
        <v>46133</v>
      </c>
      <c r="B357">
        <f t="shared" si="5"/>
        <v>3</v>
      </c>
      <c r="C357" s="4">
        <v>33565</v>
      </c>
    </row>
    <row r="358" spans="1:3" x14ac:dyDescent="0.45">
      <c r="A358" s="3">
        <v>46134</v>
      </c>
      <c r="B358">
        <f t="shared" si="5"/>
        <v>4</v>
      </c>
      <c r="C358" s="4">
        <v>35038</v>
      </c>
    </row>
    <row r="359" spans="1:3" x14ac:dyDescent="0.45">
      <c r="A359" s="3">
        <v>46135</v>
      </c>
      <c r="B359">
        <f t="shared" si="5"/>
        <v>5</v>
      </c>
      <c r="C359" s="4">
        <v>33991</v>
      </c>
    </row>
    <row r="360" spans="1:3" x14ac:dyDescent="0.45">
      <c r="A360" s="3">
        <v>46136</v>
      </c>
      <c r="B360">
        <f t="shared" si="5"/>
        <v>6</v>
      </c>
      <c r="C360" s="4">
        <v>34498</v>
      </c>
    </row>
    <row r="361" spans="1:3" x14ac:dyDescent="0.45">
      <c r="A361" s="3">
        <v>46137</v>
      </c>
      <c r="B361">
        <f t="shared" si="5"/>
        <v>7</v>
      </c>
      <c r="C361" s="4">
        <v>38155</v>
      </c>
    </row>
    <row r="362" spans="1:3" x14ac:dyDescent="0.45">
      <c r="A362" s="3">
        <v>46138</v>
      </c>
      <c r="B362">
        <f t="shared" si="5"/>
        <v>1</v>
      </c>
      <c r="C362" s="4">
        <v>35700</v>
      </c>
    </row>
    <row r="363" spans="1:3" x14ac:dyDescent="0.45">
      <c r="A363" s="3">
        <v>46139</v>
      </c>
      <c r="B363">
        <f t="shared" si="5"/>
        <v>2</v>
      </c>
      <c r="C363" s="4">
        <v>30786</v>
      </c>
    </row>
    <row r="364" spans="1:3" x14ac:dyDescent="0.45">
      <c r="A364" s="3">
        <v>46140</v>
      </c>
      <c r="B364">
        <f t="shared" si="5"/>
        <v>3</v>
      </c>
      <c r="C364" s="4">
        <v>32315</v>
      </c>
    </row>
    <row r="365" spans="1:3" x14ac:dyDescent="0.45">
      <c r="A365" s="3">
        <v>46141</v>
      </c>
      <c r="B365">
        <f t="shared" si="5"/>
        <v>4</v>
      </c>
      <c r="C365" s="4">
        <v>32922</v>
      </c>
    </row>
    <row r="366" spans="1:3" x14ac:dyDescent="0.45">
      <c r="A366" s="3">
        <v>46142</v>
      </c>
      <c r="B366">
        <f t="shared" si="5"/>
        <v>5</v>
      </c>
      <c r="C366" s="4">
        <v>33942</v>
      </c>
    </row>
    <row r="367" spans="1:3" x14ac:dyDescent="0.45">
      <c r="A367" s="3">
        <v>46143</v>
      </c>
      <c r="B367">
        <f t="shared" si="5"/>
        <v>6</v>
      </c>
      <c r="C367" s="4">
        <v>35267</v>
      </c>
    </row>
    <row r="368" spans="1:3" x14ac:dyDescent="0.45">
      <c r="A368" s="3">
        <v>46144</v>
      </c>
      <c r="B368">
        <f t="shared" si="5"/>
        <v>7</v>
      </c>
      <c r="C368" s="4">
        <v>37428</v>
      </c>
    </row>
    <row r="369" spans="1:3" x14ac:dyDescent="0.45">
      <c r="A369" s="3">
        <v>46145</v>
      </c>
      <c r="B369">
        <f t="shared" si="5"/>
        <v>1</v>
      </c>
      <c r="C369" s="4">
        <v>35280</v>
      </c>
    </row>
    <row r="370" spans="1:3" x14ac:dyDescent="0.45">
      <c r="A370" s="3">
        <v>46146</v>
      </c>
      <c r="B370">
        <f t="shared" si="5"/>
        <v>2</v>
      </c>
      <c r="C370" s="4">
        <v>32268</v>
      </c>
    </row>
    <row r="371" spans="1:3" x14ac:dyDescent="0.45">
      <c r="A371" s="3">
        <v>46147</v>
      </c>
      <c r="B371">
        <f t="shared" si="5"/>
        <v>3</v>
      </c>
      <c r="C371" s="4">
        <v>31774</v>
      </c>
    </row>
    <row r="372" spans="1:3" x14ac:dyDescent="0.45">
      <c r="A372" s="3">
        <v>46148</v>
      </c>
      <c r="B372">
        <f t="shared" si="5"/>
        <v>4</v>
      </c>
      <c r="C372" s="4">
        <v>33377</v>
      </c>
    </row>
    <row r="373" spans="1:3" x14ac:dyDescent="0.45">
      <c r="A373" s="3">
        <v>46149</v>
      </c>
      <c r="B373">
        <f t="shared" si="5"/>
        <v>5</v>
      </c>
      <c r="C373" s="4">
        <v>35417</v>
      </c>
    </row>
    <row r="374" spans="1:3" x14ac:dyDescent="0.45">
      <c r="A374" s="3">
        <v>46150</v>
      </c>
      <c r="B374">
        <f t="shared" si="5"/>
        <v>6</v>
      </c>
      <c r="C374" s="4">
        <v>35683</v>
      </c>
    </row>
    <row r="375" spans="1:3" x14ac:dyDescent="0.45">
      <c r="A375" s="3">
        <v>46151</v>
      </c>
      <c r="B375">
        <f t="shared" si="5"/>
        <v>7</v>
      </c>
      <c r="C375" s="4">
        <v>38752</v>
      </c>
    </row>
    <row r="376" spans="1:3" x14ac:dyDescent="0.45">
      <c r="A376" s="3">
        <v>46152</v>
      </c>
      <c r="B376">
        <f t="shared" si="5"/>
        <v>1</v>
      </c>
      <c r="C376" s="4">
        <v>37502</v>
      </c>
    </row>
    <row r="377" spans="1:3" x14ac:dyDescent="0.45">
      <c r="A377" s="3">
        <v>46153</v>
      </c>
      <c r="B377">
        <f t="shared" si="5"/>
        <v>2</v>
      </c>
      <c r="C377" s="4">
        <v>32259</v>
      </c>
    </row>
    <row r="378" spans="1:3" x14ac:dyDescent="0.45">
      <c r="A378" s="3">
        <v>46154</v>
      </c>
      <c r="B378">
        <f t="shared" si="5"/>
        <v>3</v>
      </c>
      <c r="C378" s="4">
        <v>32594</v>
      </c>
    </row>
    <row r="379" spans="1:3" x14ac:dyDescent="0.45">
      <c r="A379" s="3">
        <v>46155</v>
      </c>
      <c r="B379">
        <f t="shared" si="5"/>
        <v>4</v>
      </c>
      <c r="C379" s="4">
        <v>35108</v>
      </c>
    </row>
    <row r="380" spans="1:3" x14ac:dyDescent="0.45">
      <c r="A380" s="3">
        <v>46156</v>
      </c>
      <c r="B380">
        <f t="shared" si="5"/>
        <v>5</v>
      </c>
      <c r="C380" s="4">
        <v>34084</v>
      </c>
    </row>
    <row r="381" spans="1:3" x14ac:dyDescent="0.45">
      <c r="A381" s="3">
        <v>46157</v>
      </c>
      <c r="B381">
        <f t="shared" si="5"/>
        <v>6</v>
      </c>
      <c r="C381" s="4">
        <v>35546</v>
      </c>
    </row>
    <row r="382" spans="1:3" x14ac:dyDescent="0.45">
      <c r="A382" s="3">
        <v>46158</v>
      </c>
      <c r="B382">
        <f t="shared" si="5"/>
        <v>7</v>
      </c>
      <c r="C382" s="4">
        <v>39104</v>
      </c>
    </row>
    <row r="383" spans="1:3" x14ac:dyDescent="0.45">
      <c r="A383" s="3">
        <v>46159</v>
      </c>
      <c r="B383">
        <f t="shared" si="5"/>
        <v>1</v>
      </c>
      <c r="C383" s="4">
        <v>34857</v>
      </c>
    </row>
    <row r="384" spans="1:3" x14ac:dyDescent="0.45">
      <c r="A384" s="3">
        <v>46160</v>
      </c>
      <c r="B384">
        <f t="shared" si="5"/>
        <v>2</v>
      </c>
      <c r="C384" s="4">
        <v>32421</v>
      </c>
    </row>
    <row r="385" spans="1:3" x14ac:dyDescent="0.45">
      <c r="A385" s="3">
        <v>46161</v>
      </c>
      <c r="B385">
        <f t="shared" si="5"/>
        <v>3</v>
      </c>
      <c r="C385" s="4">
        <v>33255</v>
      </c>
    </row>
    <row r="386" spans="1:3" x14ac:dyDescent="0.45">
      <c r="A386" s="3">
        <v>46162</v>
      </c>
      <c r="B386">
        <f t="shared" ref="B386:B449" si="6">WEEKDAY(A386,1)</f>
        <v>4</v>
      </c>
      <c r="C386" s="4">
        <v>33290</v>
      </c>
    </row>
    <row r="387" spans="1:3" x14ac:dyDescent="0.45">
      <c r="A387" s="3">
        <v>46163</v>
      </c>
      <c r="B387">
        <f t="shared" si="6"/>
        <v>5</v>
      </c>
      <c r="C387" s="4">
        <v>34999</v>
      </c>
    </row>
    <row r="388" spans="1:3" x14ac:dyDescent="0.45">
      <c r="A388" s="3">
        <v>46164</v>
      </c>
      <c r="B388">
        <f t="shared" si="6"/>
        <v>6</v>
      </c>
      <c r="C388" s="4">
        <v>34825</v>
      </c>
    </row>
    <row r="389" spans="1:3" x14ac:dyDescent="0.45">
      <c r="A389" s="3">
        <v>46165</v>
      </c>
      <c r="B389">
        <f t="shared" si="6"/>
        <v>7</v>
      </c>
      <c r="C389" s="4">
        <v>37603</v>
      </c>
    </row>
    <row r="390" spans="1:3" x14ac:dyDescent="0.45">
      <c r="A390" s="3">
        <v>46166</v>
      </c>
      <c r="B390">
        <f t="shared" si="6"/>
        <v>1</v>
      </c>
      <c r="C390" s="4">
        <v>37154</v>
      </c>
    </row>
    <row r="391" spans="1:3" x14ac:dyDescent="0.45">
      <c r="A391" s="3">
        <v>46167</v>
      </c>
      <c r="B391">
        <f t="shared" si="6"/>
        <v>2</v>
      </c>
      <c r="C391" s="4">
        <v>32058</v>
      </c>
    </row>
    <row r="392" spans="1:3" x14ac:dyDescent="0.45">
      <c r="A392" s="3">
        <v>46168</v>
      </c>
      <c r="B392">
        <f t="shared" si="6"/>
        <v>3</v>
      </c>
      <c r="C392" s="4">
        <v>31876</v>
      </c>
    </row>
    <row r="393" spans="1:3" x14ac:dyDescent="0.45">
      <c r="A393" s="3">
        <v>46169</v>
      </c>
      <c r="B393">
        <f t="shared" si="6"/>
        <v>4</v>
      </c>
      <c r="C393" s="4">
        <v>33184</v>
      </c>
    </row>
    <row r="394" spans="1:3" x14ac:dyDescent="0.45">
      <c r="A394" s="3">
        <v>46170</v>
      </c>
      <c r="B394">
        <f t="shared" si="6"/>
        <v>5</v>
      </c>
      <c r="C394" s="4">
        <v>33239</v>
      </c>
    </row>
    <row r="395" spans="1:3" x14ac:dyDescent="0.45">
      <c r="A395" s="3">
        <v>46171</v>
      </c>
      <c r="B395">
        <f t="shared" si="6"/>
        <v>6</v>
      </c>
      <c r="C395" s="4">
        <v>35143</v>
      </c>
    </row>
    <row r="396" spans="1:3" x14ac:dyDescent="0.45">
      <c r="A396" s="3">
        <v>46172</v>
      </c>
      <c r="B396">
        <f t="shared" si="6"/>
        <v>7</v>
      </c>
      <c r="C396" s="4">
        <v>37363</v>
      </c>
    </row>
    <row r="397" spans="1:3" x14ac:dyDescent="0.45">
      <c r="A397" s="3">
        <v>46173</v>
      </c>
      <c r="B397">
        <f t="shared" si="6"/>
        <v>1</v>
      </c>
      <c r="C397" s="4">
        <v>36339</v>
      </c>
    </row>
    <row r="398" spans="1:3" x14ac:dyDescent="0.45">
      <c r="A398" s="3">
        <v>46174</v>
      </c>
      <c r="B398">
        <f t="shared" si="6"/>
        <v>2</v>
      </c>
      <c r="C398" s="4">
        <v>31073</v>
      </c>
    </row>
    <row r="399" spans="1:3" x14ac:dyDescent="0.45">
      <c r="A399" s="3">
        <v>46175</v>
      </c>
      <c r="B399">
        <f t="shared" si="6"/>
        <v>3</v>
      </c>
      <c r="C399" s="4">
        <v>32635</v>
      </c>
    </row>
    <row r="400" spans="1:3" x14ac:dyDescent="0.45">
      <c r="A400" s="3">
        <v>46176</v>
      </c>
      <c r="B400">
        <f t="shared" si="6"/>
        <v>4</v>
      </c>
      <c r="C400" s="4">
        <v>33588</v>
      </c>
    </row>
    <row r="401" spans="1:3" x14ac:dyDescent="0.45">
      <c r="A401" s="3">
        <v>46177</v>
      </c>
      <c r="B401">
        <f t="shared" si="6"/>
        <v>5</v>
      </c>
      <c r="C401" s="4">
        <v>33616</v>
      </c>
    </row>
    <row r="402" spans="1:3" x14ac:dyDescent="0.45">
      <c r="A402" s="3">
        <v>46178</v>
      </c>
      <c r="B402">
        <f t="shared" si="6"/>
        <v>6</v>
      </c>
      <c r="C402" s="4">
        <v>34750</v>
      </c>
    </row>
    <row r="403" spans="1:3" x14ac:dyDescent="0.45">
      <c r="A403" s="3">
        <v>46179</v>
      </c>
      <c r="B403">
        <f t="shared" si="6"/>
        <v>7</v>
      </c>
      <c r="C403" s="4">
        <v>40145</v>
      </c>
    </row>
    <row r="404" spans="1:3" x14ac:dyDescent="0.45">
      <c r="A404" s="3">
        <v>46180</v>
      </c>
      <c r="B404">
        <f t="shared" si="6"/>
        <v>1</v>
      </c>
      <c r="C404" s="4">
        <v>36044</v>
      </c>
    </row>
    <row r="405" spans="1:3" x14ac:dyDescent="0.45">
      <c r="A405" s="3">
        <v>46181</v>
      </c>
      <c r="B405">
        <f t="shared" si="6"/>
        <v>2</v>
      </c>
      <c r="C405" s="4">
        <v>30645</v>
      </c>
    </row>
    <row r="406" spans="1:3" x14ac:dyDescent="0.45">
      <c r="A406" s="3">
        <v>46182</v>
      </c>
      <c r="B406">
        <f t="shared" si="6"/>
        <v>3</v>
      </c>
      <c r="C406" s="4">
        <v>31618</v>
      </c>
    </row>
    <row r="407" spans="1:3" x14ac:dyDescent="0.45">
      <c r="A407" s="3">
        <v>46183</v>
      </c>
      <c r="B407">
        <f t="shared" si="6"/>
        <v>4</v>
      </c>
      <c r="C407" s="4">
        <v>32815</v>
      </c>
    </row>
    <row r="408" spans="1:3" x14ac:dyDescent="0.45">
      <c r="A408" s="3">
        <v>46184</v>
      </c>
      <c r="B408">
        <f t="shared" si="6"/>
        <v>5</v>
      </c>
      <c r="C408" s="4">
        <v>35163</v>
      </c>
    </row>
    <row r="409" spans="1:3" x14ac:dyDescent="0.45">
      <c r="A409" s="3">
        <v>46185</v>
      </c>
      <c r="B409">
        <f t="shared" si="6"/>
        <v>6</v>
      </c>
      <c r="C409" s="4">
        <v>35386</v>
      </c>
    </row>
    <row r="410" spans="1:3" x14ac:dyDescent="0.45">
      <c r="A410" s="3">
        <v>46186</v>
      </c>
      <c r="B410">
        <f t="shared" si="6"/>
        <v>7</v>
      </c>
      <c r="C410" s="4">
        <v>37959</v>
      </c>
    </row>
    <row r="411" spans="1:3" x14ac:dyDescent="0.45">
      <c r="A411" s="3">
        <v>46187</v>
      </c>
      <c r="B411">
        <f t="shared" si="6"/>
        <v>1</v>
      </c>
      <c r="C411" s="4">
        <v>36653</v>
      </c>
    </row>
    <row r="412" spans="1:3" x14ac:dyDescent="0.45">
      <c r="A412" s="3">
        <v>46188</v>
      </c>
      <c r="B412">
        <f t="shared" si="6"/>
        <v>2</v>
      </c>
      <c r="C412" s="4">
        <v>30964</v>
      </c>
    </row>
    <row r="413" spans="1:3" x14ac:dyDescent="0.45">
      <c r="A413" s="3">
        <v>46189</v>
      </c>
      <c r="B413">
        <f t="shared" si="6"/>
        <v>3</v>
      </c>
      <c r="C413" s="4">
        <v>33048</v>
      </c>
    </row>
    <row r="414" spans="1:3" x14ac:dyDescent="0.45">
      <c r="A414" s="3">
        <v>46190</v>
      </c>
      <c r="B414">
        <f t="shared" si="6"/>
        <v>4</v>
      </c>
      <c r="C414" s="4">
        <v>33292</v>
      </c>
    </row>
    <row r="415" spans="1:3" x14ac:dyDescent="0.45">
      <c r="A415" s="3">
        <v>46191</v>
      </c>
      <c r="B415">
        <f t="shared" si="6"/>
        <v>5</v>
      </c>
      <c r="C415" s="4">
        <v>35786</v>
      </c>
    </row>
    <row r="416" spans="1:3" x14ac:dyDescent="0.45">
      <c r="A416" s="3">
        <v>46192</v>
      </c>
      <c r="B416">
        <f t="shared" si="6"/>
        <v>6</v>
      </c>
      <c r="C416" s="4">
        <v>34642</v>
      </c>
    </row>
    <row r="417" spans="1:3" x14ac:dyDescent="0.45">
      <c r="A417" s="3">
        <v>46193</v>
      </c>
      <c r="B417">
        <f t="shared" si="6"/>
        <v>7</v>
      </c>
      <c r="C417" s="4">
        <v>38832</v>
      </c>
    </row>
    <row r="418" spans="1:3" x14ac:dyDescent="0.45">
      <c r="A418" s="3">
        <v>46194</v>
      </c>
      <c r="B418">
        <f t="shared" si="6"/>
        <v>1</v>
      </c>
      <c r="C418" s="4">
        <v>36613</v>
      </c>
    </row>
    <row r="419" spans="1:3" x14ac:dyDescent="0.45">
      <c r="A419" s="3">
        <v>46195</v>
      </c>
      <c r="B419">
        <f t="shared" si="6"/>
        <v>2</v>
      </c>
      <c r="C419" s="4">
        <v>32078</v>
      </c>
    </row>
    <row r="420" spans="1:3" x14ac:dyDescent="0.45">
      <c r="A420" s="3">
        <v>46196</v>
      </c>
      <c r="B420">
        <f t="shared" si="6"/>
        <v>3</v>
      </c>
      <c r="C420" s="4">
        <v>33076</v>
      </c>
    </row>
    <row r="421" spans="1:3" x14ac:dyDescent="0.45">
      <c r="A421" s="3">
        <v>46197</v>
      </c>
      <c r="B421">
        <f t="shared" si="6"/>
        <v>4</v>
      </c>
      <c r="C421" s="4">
        <v>34944</v>
      </c>
    </row>
    <row r="422" spans="1:3" x14ac:dyDescent="0.45">
      <c r="A422" s="3">
        <v>46198</v>
      </c>
      <c r="B422">
        <f t="shared" si="6"/>
        <v>5</v>
      </c>
      <c r="C422" s="4">
        <v>33519</v>
      </c>
    </row>
    <row r="423" spans="1:3" x14ac:dyDescent="0.45">
      <c r="A423" s="3">
        <v>46199</v>
      </c>
      <c r="B423">
        <f t="shared" si="6"/>
        <v>6</v>
      </c>
      <c r="C423" s="4">
        <v>36416</v>
      </c>
    </row>
    <row r="424" spans="1:3" x14ac:dyDescent="0.45">
      <c r="A424" s="3">
        <v>46200</v>
      </c>
      <c r="B424">
        <f t="shared" si="6"/>
        <v>7</v>
      </c>
      <c r="C424" s="4">
        <v>39995</v>
      </c>
    </row>
    <row r="425" spans="1:3" x14ac:dyDescent="0.45">
      <c r="A425" s="3">
        <v>46201</v>
      </c>
      <c r="B425">
        <f t="shared" si="6"/>
        <v>1</v>
      </c>
      <c r="C425" s="4">
        <v>35261</v>
      </c>
    </row>
    <row r="426" spans="1:3" x14ac:dyDescent="0.45">
      <c r="A426" s="3">
        <v>46202</v>
      </c>
      <c r="B426">
        <f t="shared" si="6"/>
        <v>2</v>
      </c>
      <c r="C426" s="4">
        <v>32394</v>
      </c>
    </row>
    <row r="427" spans="1:3" x14ac:dyDescent="0.45">
      <c r="A427" s="3">
        <v>46203</v>
      </c>
      <c r="B427">
        <f t="shared" si="6"/>
        <v>3</v>
      </c>
      <c r="C427" s="4">
        <v>32953</v>
      </c>
    </row>
    <row r="428" spans="1:3" x14ac:dyDescent="0.45">
      <c r="A428" s="3">
        <v>46204</v>
      </c>
      <c r="B428">
        <f t="shared" si="6"/>
        <v>4</v>
      </c>
      <c r="C428" s="4">
        <v>33546</v>
      </c>
    </row>
    <row r="429" spans="1:3" x14ac:dyDescent="0.45">
      <c r="A429" s="3">
        <v>46205</v>
      </c>
      <c r="B429">
        <f t="shared" si="6"/>
        <v>5</v>
      </c>
      <c r="C429" s="4">
        <v>33475</v>
      </c>
    </row>
    <row r="430" spans="1:3" x14ac:dyDescent="0.45">
      <c r="A430" s="3">
        <v>46206</v>
      </c>
      <c r="B430">
        <f t="shared" si="6"/>
        <v>6</v>
      </c>
      <c r="C430" s="4">
        <v>35432</v>
      </c>
    </row>
    <row r="431" spans="1:3" x14ac:dyDescent="0.45">
      <c r="A431" s="3">
        <v>46207</v>
      </c>
      <c r="B431">
        <f t="shared" si="6"/>
        <v>7</v>
      </c>
      <c r="C431" s="4">
        <v>38906</v>
      </c>
    </row>
    <row r="432" spans="1:3" x14ac:dyDescent="0.45">
      <c r="A432" s="3">
        <v>46208</v>
      </c>
      <c r="B432">
        <f t="shared" si="6"/>
        <v>1</v>
      </c>
      <c r="C432" s="4">
        <v>36697</v>
      </c>
    </row>
    <row r="433" spans="1:3" x14ac:dyDescent="0.45">
      <c r="A433" s="3">
        <v>46209</v>
      </c>
      <c r="B433">
        <f t="shared" si="6"/>
        <v>2</v>
      </c>
      <c r="C433" s="4">
        <v>32272</v>
      </c>
    </row>
    <row r="434" spans="1:3" x14ac:dyDescent="0.45">
      <c r="A434" s="3">
        <v>46210</v>
      </c>
      <c r="B434">
        <f t="shared" si="6"/>
        <v>3</v>
      </c>
      <c r="C434" s="4">
        <v>32336</v>
      </c>
    </row>
    <row r="435" spans="1:3" x14ac:dyDescent="0.45">
      <c r="A435" s="3">
        <v>46211</v>
      </c>
      <c r="B435">
        <f t="shared" si="6"/>
        <v>4</v>
      </c>
      <c r="C435" s="4">
        <v>34743</v>
      </c>
    </row>
    <row r="436" spans="1:3" x14ac:dyDescent="0.45">
      <c r="A436" s="3">
        <v>46212</v>
      </c>
      <c r="B436">
        <f t="shared" si="6"/>
        <v>5</v>
      </c>
      <c r="C436" s="4">
        <v>34908</v>
      </c>
    </row>
    <row r="437" spans="1:3" x14ac:dyDescent="0.45">
      <c r="A437" s="3">
        <v>46213</v>
      </c>
      <c r="B437">
        <f t="shared" si="6"/>
        <v>6</v>
      </c>
      <c r="C437" s="4">
        <v>35294</v>
      </c>
    </row>
    <row r="438" spans="1:3" x14ac:dyDescent="0.45">
      <c r="A438" s="3">
        <v>46214</v>
      </c>
      <c r="B438">
        <f t="shared" si="6"/>
        <v>7</v>
      </c>
      <c r="C438" s="4">
        <v>40302</v>
      </c>
    </row>
    <row r="439" spans="1:3" x14ac:dyDescent="0.45">
      <c r="A439" s="3">
        <v>46215</v>
      </c>
      <c r="B439">
        <f t="shared" si="6"/>
        <v>1</v>
      </c>
      <c r="C439" s="4">
        <v>36617</v>
      </c>
    </row>
    <row r="440" spans="1:3" x14ac:dyDescent="0.45">
      <c r="A440" s="3">
        <v>46216</v>
      </c>
      <c r="B440">
        <f t="shared" si="6"/>
        <v>2</v>
      </c>
      <c r="C440" s="4">
        <v>30710</v>
      </c>
    </row>
    <row r="441" spans="1:3" x14ac:dyDescent="0.45">
      <c r="A441" s="3">
        <v>46217</v>
      </c>
      <c r="B441">
        <f t="shared" si="6"/>
        <v>3</v>
      </c>
      <c r="C441" s="4">
        <v>33906</v>
      </c>
    </row>
    <row r="442" spans="1:3" x14ac:dyDescent="0.45">
      <c r="A442" s="3">
        <v>46218</v>
      </c>
      <c r="B442">
        <f t="shared" si="6"/>
        <v>4</v>
      </c>
      <c r="C442" s="4">
        <v>34585</v>
      </c>
    </row>
    <row r="443" spans="1:3" x14ac:dyDescent="0.45">
      <c r="A443" s="3">
        <v>46219</v>
      </c>
      <c r="B443">
        <f t="shared" si="6"/>
        <v>5</v>
      </c>
      <c r="C443" s="4">
        <v>34311</v>
      </c>
    </row>
    <row r="444" spans="1:3" x14ac:dyDescent="0.45">
      <c r="A444" s="3">
        <v>46220</v>
      </c>
      <c r="B444">
        <f t="shared" si="6"/>
        <v>6</v>
      </c>
      <c r="C444" s="4">
        <v>36155</v>
      </c>
    </row>
    <row r="445" spans="1:3" x14ac:dyDescent="0.45">
      <c r="A445" s="3">
        <v>46221</v>
      </c>
      <c r="B445">
        <f t="shared" si="6"/>
        <v>7</v>
      </c>
      <c r="C445" s="4">
        <v>38998</v>
      </c>
    </row>
    <row r="446" spans="1:3" x14ac:dyDescent="0.45">
      <c r="A446" s="3">
        <v>46222</v>
      </c>
      <c r="B446">
        <f t="shared" si="6"/>
        <v>1</v>
      </c>
      <c r="C446" s="4">
        <v>36610</v>
      </c>
    </row>
    <row r="447" spans="1:3" x14ac:dyDescent="0.45">
      <c r="A447" s="3">
        <v>46223</v>
      </c>
      <c r="B447">
        <f t="shared" si="6"/>
        <v>2</v>
      </c>
      <c r="C447" s="4">
        <v>32668</v>
      </c>
    </row>
    <row r="448" spans="1:3" x14ac:dyDescent="0.45">
      <c r="A448" s="3">
        <v>46224</v>
      </c>
      <c r="B448">
        <f t="shared" si="6"/>
        <v>3</v>
      </c>
      <c r="C448" s="4">
        <v>32371</v>
      </c>
    </row>
    <row r="449" spans="1:3" x14ac:dyDescent="0.45">
      <c r="A449" s="3">
        <v>46225</v>
      </c>
      <c r="B449">
        <f t="shared" si="6"/>
        <v>4</v>
      </c>
      <c r="C449" s="4">
        <v>34589</v>
      </c>
    </row>
    <row r="450" spans="1:3" x14ac:dyDescent="0.45">
      <c r="A450" s="3">
        <v>46226</v>
      </c>
      <c r="B450">
        <f t="shared" ref="B450:B513" si="7">WEEKDAY(A450,1)</f>
        <v>5</v>
      </c>
      <c r="C450" s="4">
        <v>34687</v>
      </c>
    </row>
    <row r="451" spans="1:3" x14ac:dyDescent="0.45">
      <c r="A451" s="3">
        <v>46227</v>
      </c>
      <c r="B451">
        <f t="shared" si="7"/>
        <v>6</v>
      </c>
      <c r="C451" s="4">
        <v>36224</v>
      </c>
    </row>
    <row r="452" spans="1:3" x14ac:dyDescent="0.45">
      <c r="A452" s="3">
        <v>46228</v>
      </c>
      <c r="B452">
        <f t="shared" si="7"/>
        <v>7</v>
      </c>
      <c r="C452" s="4">
        <v>39695</v>
      </c>
    </row>
    <row r="453" spans="1:3" x14ac:dyDescent="0.45">
      <c r="A453" s="3">
        <v>46229</v>
      </c>
      <c r="B453">
        <f t="shared" si="7"/>
        <v>1</v>
      </c>
      <c r="C453" s="4">
        <v>36370</v>
      </c>
    </row>
    <row r="454" spans="1:3" x14ac:dyDescent="0.45">
      <c r="A454" s="3">
        <v>46230</v>
      </c>
      <c r="B454">
        <f t="shared" si="7"/>
        <v>2</v>
      </c>
      <c r="C454" s="4">
        <v>31988</v>
      </c>
    </row>
    <row r="455" spans="1:3" x14ac:dyDescent="0.45">
      <c r="A455" s="3">
        <v>46231</v>
      </c>
      <c r="B455">
        <f t="shared" si="7"/>
        <v>3</v>
      </c>
      <c r="C455" s="4">
        <v>31923</v>
      </c>
    </row>
    <row r="456" spans="1:3" x14ac:dyDescent="0.45">
      <c r="A456" s="3">
        <v>46232</v>
      </c>
      <c r="B456">
        <f t="shared" si="7"/>
        <v>4</v>
      </c>
      <c r="C456" s="4">
        <v>35239</v>
      </c>
    </row>
    <row r="457" spans="1:3" x14ac:dyDescent="0.45">
      <c r="A457" s="3">
        <v>46233</v>
      </c>
      <c r="B457">
        <f t="shared" si="7"/>
        <v>5</v>
      </c>
      <c r="C457" s="4">
        <v>33791</v>
      </c>
    </row>
    <row r="458" spans="1:3" x14ac:dyDescent="0.45">
      <c r="A458" s="3">
        <v>46234</v>
      </c>
      <c r="B458">
        <f t="shared" si="7"/>
        <v>6</v>
      </c>
      <c r="C458" s="4">
        <v>36438</v>
      </c>
    </row>
    <row r="459" spans="1:3" x14ac:dyDescent="0.45">
      <c r="A459" s="3">
        <v>46235</v>
      </c>
      <c r="B459">
        <f t="shared" si="7"/>
        <v>7</v>
      </c>
      <c r="C459" s="4">
        <v>38057</v>
      </c>
    </row>
    <row r="460" spans="1:3" x14ac:dyDescent="0.45">
      <c r="A460" s="3">
        <v>46236</v>
      </c>
      <c r="B460">
        <f t="shared" si="7"/>
        <v>1</v>
      </c>
      <c r="C460" s="4">
        <v>36435</v>
      </c>
    </row>
    <row r="461" spans="1:3" x14ac:dyDescent="0.45">
      <c r="A461" s="3">
        <v>46237</v>
      </c>
      <c r="B461">
        <f t="shared" si="7"/>
        <v>2</v>
      </c>
      <c r="C461" s="4">
        <v>32720</v>
      </c>
    </row>
    <row r="462" spans="1:3" x14ac:dyDescent="0.45">
      <c r="A462" s="3">
        <v>46238</v>
      </c>
      <c r="B462">
        <f t="shared" si="7"/>
        <v>3</v>
      </c>
      <c r="C462" s="4">
        <v>33605</v>
      </c>
    </row>
    <row r="463" spans="1:3" x14ac:dyDescent="0.45">
      <c r="A463" s="3">
        <v>46239</v>
      </c>
      <c r="B463">
        <f t="shared" si="7"/>
        <v>4</v>
      </c>
      <c r="C463" s="4">
        <v>34168</v>
      </c>
    </row>
    <row r="464" spans="1:3" x14ac:dyDescent="0.45">
      <c r="A464" s="3">
        <v>46240</v>
      </c>
      <c r="B464">
        <f t="shared" si="7"/>
        <v>5</v>
      </c>
      <c r="C464" s="4">
        <v>35895</v>
      </c>
    </row>
    <row r="465" spans="1:3" x14ac:dyDescent="0.45">
      <c r="A465" s="3">
        <v>46241</v>
      </c>
      <c r="B465">
        <f t="shared" si="7"/>
        <v>6</v>
      </c>
      <c r="C465" s="4">
        <v>36948</v>
      </c>
    </row>
    <row r="466" spans="1:3" x14ac:dyDescent="0.45">
      <c r="A466" s="3">
        <v>46242</v>
      </c>
      <c r="B466">
        <f t="shared" si="7"/>
        <v>7</v>
      </c>
      <c r="C466" s="4">
        <v>38504</v>
      </c>
    </row>
    <row r="467" spans="1:3" x14ac:dyDescent="0.45">
      <c r="A467" s="3">
        <v>46243</v>
      </c>
      <c r="B467">
        <f t="shared" si="7"/>
        <v>1</v>
      </c>
      <c r="C467" s="4">
        <v>36646</v>
      </c>
    </row>
    <row r="468" spans="1:3" x14ac:dyDescent="0.45">
      <c r="A468" s="3">
        <v>46244</v>
      </c>
      <c r="B468">
        <f t="shared" si="7"/>
        <v>2</v>
      </c>
      <c r="C468" s="4">
        <v>30781</v>
      </c>
    </row>
    <row r="469" spans="1:3" x14ac:dyDescent="0.45">
      <c r="A469" s="3">
        <v>46245</v>
      </c>
      <c r="B469">
        <f t="shared" si="7"/>
        <v>3</v>
      </c>
      <c r="C469" s="4">
        <v>33957</v>
      </c>
    </row>
    <row r="470" spans="1:3" x14ac:dyDescent="0.45">
      <c r="A470" s="3">
        <v>46246</v>
      </c>
      <c r="B470">
        <f t="shared" si="7"/>
        <v>4</v>
      </c>
      <c r="C470" s="4">
        <v>33873</v>
      </c>
    </row>
    <row r="471" spans="1:3" x14ac:dyDescent="0.45">
      <c r="A471" s="3">
        <v>46247</v>
      </c>
      <c r="B471">
        <f t="shared" si="7"/>
        <v>5</v>
      </c>
      <c r="C471" s="4">
        <v>34385</v>
      </c>
    </row>
    <row r="472" spans="1:3" x14ac:dyDescent="0.45">
      <c r="A472" s="3">
        <v>46248</v>
      </c>
      <c r="B472">
        <f t="shared" si="7"/>
        <v>6</v>
      </c>
      <c r="C472" s="4">
        <v>35480</v>
      </c>
    </row>
    <row r="473" spans="1:3" x14ac:dyDescent="0.45">
      <c r="A473" s="3">
        <v>46249</v>
      </c>
      <c r="B473">
        <f t="shared" si="7"/>
        <v>7</v>
      </c>
      <c r="C473" s="4">
        <v>38159</v>
      </c>
    </row>
    <row r="474" spans="1:3" x14ac:dyDescent="0.45">
      <c r="A474" s="3">
        <v>46250</v>
      </c>
      <c r="B474">
        <f t="shared" si="7"/>
        <v>1</v>
      </c>
      <c r="C474" s="4">
        <v>35873</v>
      </c>
    </row>
    <row r="475" spans="1:3" x14ac:dyDescent="0.45">
      <c r="A475" s="3">
        <v>46251</v>
      </c>
      <c r="B475">
        <f t="shared" si="7"/>
        <v>2</v>
      </c>
      <c r="C475" s="4">
        <v>32982</v>
      </c>
    </row>
    <row r="476" spans="1:3" x14ac:dyDescent="0.45">
      <c r="A476" s="3">
        <v>46252</v>
      </c>
      <c r="B476">
        <f t="shared" si="7"/>
        <v>3</v>
      </c>
      <c r="C476" s="4">
        <v>31871</v>
      </c>
    </row>
    <row r="477" spans="1:3" x14ac:dyDescent="0.45">
      <c r="A477" s="3">
        <v>46253</v>
      </c>
      <c r="B477">
        <f t="shared" si="7"/>
        <v>4</v>
      </c>
      <c r="C477" s="4">
        <v>32815</v>
      </c>
    </row>
    <row r="478" spans="1:3" x14ac:dyDescent="0.45">
      <c r="A478" s="3">
        <v>46254</v>
      </c>
      <c r="B478">
        <f t="shared" si="7"/>
        <v>5</v>
      </c>
      <c r="C478" s="4">
        <v>34015</v>
      </c>
    </row>
    <row r="479" spans="1:3" x14ac:dyDescent="0.45">
      <c r="A479" s="3">
        <v>46255</v>
      </c>
      <c r="B479">
        <f t="shared" si="7"/>
        <v>6</v>
      </c>
      <c r="C479" s="4">
        <v>35542</v>
      </c>
    </row>
    <row r="480" spans="1:3" x14ac:dyDescent="0.45">
      <c r="A480" s="3">
        <v>46256</v>
      </c>
      <c r="B480">
        <f t="shared" si="7"/>
        <v>7</v>
      </c>
      <c r="C480" s="4">
        <v>38767</v>
      </c>
    </row>
    <row r="481" spans="1:3" x14ac:dyDescent="0.45">
      <c r="A481" s="3">
        <v>46257</v>
      </c>
      <c r="B481">
        <f t="shared" si="7"/>
        <v>1</v>
      </c>
      <c r="C481" s="4">
        <v>35170</v>
      </c>
    </row>
    <row r="482" spans="1:3" x14ac:dyDescent="0.45">
      <c r="A482" s="3">
        <v>46258</v>
      </c>
      <c r="B482">
        <f t="shared" si="7"/>
        <v>2</v>
      </c>
      <c r="C482" s="4">
        <v>32766</v>
      </c>
    </row>
    <row r="483" spans="1:3" x14ac:dyDescent="0.45">
      <c r="A483" s="3">
        <v>46259</v>
      </c>
      <c r="B483">
        <f t="shared" si="7"/>
        <v>3</v>
      </c>
      <c r="C483" s="4">
        <v>33338</v>
      </c>
    </row>
    <row r="484" spans="1:3" x14ac:dyDescent="0.45">
      <c r="A484" s="3">
        <v>46260</v>
      </c>
      <c r="B484">
        <f t="shared" si="7"/>
        <v>4</v>
      </c>
      <c r="C484" s="4">
        <v>35113</v>
      </c>
    </row>
    <row r="485" spans="1:3" x14ac:dyDescent="0.45">
      <c r="A485" s="3">
        <v>46261</v>
      </c>
      <c r="B485">
        <f t="shared" si="7"/>
        <v>5</v>
      </c>
      <c r="C485" s="4">
        <v>34490</v>
      </c>
    </row>
    <row r="486" spans="1:3" x14ac:dyDescent="0.45">
      <c r="A486" s="3">
        <v>46262</v>
      </c>
      <c r="B486">
        <f t="shared" si="7"/>
        <v>6</v>
      </c>
      <c r="C486" s="4">
        <v>35483</v>
      </c>
    </row>
    <row r="487" spans="1:3" x14ac:dyDescent="0.45">
      <c r="A487" s="3">
        <v>46263</v>
      </c>
      <c r="B487">
        <f t="shared" si="7"/>
        <v>7</v>
      </c>
      <c r="C487" s="4">
        <v>38635</v>
      </c>
    </row>
    <row r="488" spans="1:3" x14ac:dyDescent="0.45">
      <c r="A488" s="3">
        <v>46264</v>
      </c>
      <c r="B488">
        <f t="shared" si="7"/>
        <v>1</v>
      </c>
      <c r="C488" s="4">
        <v>36070</v>
      </c>
    </row>
    <row r="489" spans="1:3" x14ac:dyDescent="0.45">
      <c r="A489" s="3">
        <v>46265</v>
      </c>
      <c r="B489">
        <f t="shared" si="7"/>
        <v>2</v>
      </c>
      <c r="C489" s="4">
        <v>31270</v>
      </c>
    </row>
    <row r="490" spans="1:3" x14ac:dyDescent="0.45">
      <c r="A490" s="3">
        <v>46266</v>
      </c>
      <c r="B490">
        <f t="shared" si="7"/>
        <v>3</v>
      </c>
      <c r="C490" s="4">
        <v>32827</v>
      </c>
    </row>
    <row r="491" spans="1:3" x14ac:dyDescent="0.45">
      <c r="A491" s="3">
        <v>46267</v>
      </c>
      <c r="B491">
        <f t="shared" si="7"/>
        <v>4</v>
      </c>
      <c r="C491" s="4">
        <v>34134</v>
      </c>
    </row>
    <row r="492" spans="1:3" x14ac:dyDescent="0.45">
      <c r="A492" s="3">
        <v>46268</v>
      </c>
      <c r="B492">
        <f t="shared" si="7"/>
        <v>5</v>
      </c>
      <c r="C492" s="4">
        <v>36228</v>
      </c>
    </row>
    <row r="493" spans="1:3" x14ac:dyDescent="0.45">
      <c r="A493" s="3">
        <v>46269</v>
      </c>
      <c r="B493">
        <f t="shared" si="7"/>
        <v>6</v>
      </c>
      <c r="C493" s="4">
        <v>36608</v>
      </c>
    </row>
    <row r="494" spans="1:3" x14ac:dyDescent="0.45">
      <c r="A494" s="3">
        <v>46270</v>
      </c>
      <c r="B494">
        <f t="shared" si="7"/>
        <v>7</v>
      </c>
      <c r="C494" s="4">
        <v>40133</v>
      </c>
    </row>
    <row r="495" spans="1:3" x14ac:dyDescent="0.45">
      <c r="A495" s="3">
        <v>46271</v>
      </c>
      <c r="B495">
        <f t="shared" si="7"/>
        <v>1</v>
      </c>
      <c r="C495" s="4">
        <v>36266</v>
      </c>
    </row>
    <row r="496" spans="1:3" x14ac:dyDescent="0.45">
      <c r="A496" s="3">
        <v>46272</v>
      </c>
      <c r="B496">
        <f t="shared" si="7"/>
        <v>2</v>
      </c>
      <c r="C496" s="4">
        <v>32248</v>
      </c>
    </row>
    <row r="497" spans="1:3" x14ac:dyDescent="0.45">
      <c r="A497" s="3">
        <v>46273</v>
      </c>
      <c r="B497">
        <f t="shared" si="7"/>
        <v>3</v>
      </c>
      <c r="C497" s="4">
        <v>32768</v>
      </c>
    </row>
    <row r="498" spans="1:3" x14ac:dyDescent="0.45">
      <c r="A498" s="3">
        <v>46274</v>
      </c>
      <c r="B498">
        <f t="shared" si="7"/>
        <v>4</v>
      </c>
      <c r="C498" s="4">
        <v>34759</v>
      </c>
    </row>
    <row r="499" spans="1:3" x14ac:dyDescent="0.45">
      <c r="A499" s="3">
        <v>46275</v>
      </c>
      <c r="B499">
        <f t="shared" si="7"/>
        <v>5</v>
      </c>
      <c r="C499" s="4">
        <v>35527</v>
      </c>
    </row>
    <row r="500" spans="1:3" x14ac:dyDescent="0.45">
      <c r="A500" s="3">
        <v>46276</v>
      </c>
      <c r="B500">
        <f t="shared" si="7"/>
        <v>6</v>
      </c>
      <c r="C500" s="4">
        <v>36946</v>
      </c>
    </row>
    <row r="501" spans="1:3" x14ac:dyDescent="0.45">
      <c r="A501" s="3">
        <v>46277</v>
      </c>
      <c r="B501">
        <f t="shared" si="7"/>
        <v>7</v>
      </c>
      <c r="C501" s="4">
        <v>39624</v>
      </c>
    </row>
    <row r="502" spans="1:3" x14ac:dyDescent="0.45">
      <c r="A502" s="3">
        <v>46278</v>
      </c>
      <c r="B502">
        <f t="shared" si="7"/>
        <v>1</v>
      </c>
      <c r="C502" s="4">
        <v>37549</v>
      </c>
    </row>
    <row r="503" spans="1:3" x14ac:dyDescent="0.45">
      <c r="A503" s="3">
        <v>46279</v>
      </c>
      <c r="B503">
        <f t="shared" si="7"/>
        <v>2</v>
      </c>
      <c r="C503" s="4">
        <v>32250</v>
      </c>
    </row>
    <row r="504" spans="1:3" x14ac:dyDescent="0.45">
      <c r="A504" s="3">
        <v>46280</v>
      </c>
      <c r="B504">
        <f t="shared" si="7"/>
        <v>3</v>
      </c>
      <c r="C504" s="4">
        <v>33418</v>
      </c>
    </row>
    <row r="505" spans="1:3" x14ac:dyDescent="0.45">
      <c r="A505" s="3">
        <v>46281</v>
      </c>
      <c r="B505">
        <f t="shared" si="7"/>
        <v>4</v>
      </c>
      <c r="C505" s="4">
        <v>34567</v>
      </c>
    </row>
    <row r="506" spans="1:3" x14ac:dyDescent="0.45">
      <c r="A506" s="3">
        <v>46282</v>
      </c>
      <c r="B506">
        <f t="shared" si="7"/>
        <v>5</v>
      </c>
      <c r="C506" s="4">
        <v>35410</v>
      </c>
    </row>
    <row r="507" spans="1:3" x14ac:dyDescent="0.45">
      <c r="A507" s="3">
        <v>46283</v>
      </c>
      <c r="B507">
        <f t="shared" si="7"/>
        <v>6</v>
      </c>
      <c r="C507" s="4">
        <v>35545</v>
      </c>
    </row>
    <row r="508" spans="1:3" x14ac:dyDescent="0.45">
      <c r="A508" s="3">
        <v>46284</v>
      </c>
      <c r="B508">
        <f t="shared" si="7"/>
        <v>7</v>
      </c>
      <c r="C508" s="4">
        <v>38714</v>
      </c>
    </row>
    <row r="509" spans="1:3" x14ac:dyDescent="0.45">
      <c r="A509" s="3">
        <v>46285</v>
      </c>
      <c r="B509">
        <f t="shared" si="7"/>
        <v>1</v>
      </c>
      <c r="C509" s="4">
        <v>37142</v>
      </c>
    </row>
    <row r="510" spans="1:3" x14ac:dyDescent="0.45">
      <c r="A510" s="3">
        <v>46286</v>
      </c>
      <c r="B510">
        <f t="shared" si="7"/>
        <v>2</v>
      </c>
      <c r="C510" s="4">
        <v>31902</v>
      </c>
    </row>
    <row r="511" spans="1:3" x14ac:dyDescent="0.45">
      <c r="A511" s="3">
        <v>46287</v>
      </c>
      <c r="B511">
        <f t="shared" si="7"/>
        <v>3</v>
      </c>
      <c r="C511" s="4">
        <v>32740</v>
      </c>
    </row>
    <row r="512" spans="1:3" x14ac:dyDescent="0.45">
      <c r="A512" s="3">
        <v>46288</v>
      </c>
      <c r="B512">
        <f t="shared" si="7"/>
        <v>4</v>
      </c>
      <c r="C512" s="4">
        <v>33236</v>
      </c>
    </row>
    <row r="513" spans="1:3" x14ac:dyDescent="0.45">
      <c r="A513" s="3">
        <v>46289</v>
      </c>
      <c r="B513">
        <f t="shared" si="7"/>
        <v>5</v>
      </c>
      <c r="C513" s="4">
        <v>33950</v>
      </c>
    </row>
    <row r="514" spans="1:3" x14ac:dyDescent="0.45">
      <c r="A514" s="3">
        <v>46290</v>
      </c>
      <c r="B514">
        <f t="shared" ref="B514:B577" si="8">WEEKDAY(A514,1)</f>
        <v>6</v>
      </c>
      <c r="C514" s="4">
        <v>35278</v>
      </c>
    </row>
    <row r="515" spans="1:3" x14ac:dyDescent="0.45">
      <c r="A515" s="3">
        <v>46291</v>
      </c>
      <c r="B515">
        <f t="shared" si="8"/>
        <v>7</v>
      </c>
      <c r="C515" s="4">
        <v>40454</v>
      </c>
    </row>
    <row r="516" spans="1:3" x14ac:dyDescent="0.45">
      <c r="A516" s="3">
        <v>46292</v>
      </c>
      <c r="B516">
        <f t="shared" si="8"/>
        <v>1</v>
      </c>
      <c r="C516" s="4">
        <v>35253</v>
      </c>
    </row>
    <row r="517" spans="1:3" x14ac:dyDescent="0.45">
      <c r="A517" s="3">
        <v>46293</v>
      </c>
      <c r="B517">
        <f t="shared" si="8"/>
        <v>2</v>
      </c>
      <c r="C517" s="4">
        <v>31243</v>
      </c>
    </row>
    <row r="518" spans="1:3" x14ac:dyDescent="0.45">
      <c r="A518" s="3">
        <v>46294</v>
      </c>
      <c r="B518">
        <f t="shared" si="8"/>
        <v>3</v>
      </c>
      <c r="C518" s="4">
        <v>33953</v>
      </c>
    </row>
    <row r="519" spans="1:3" x14ac:dyDescent="0.45">
      <c r="A519" s="3">
        <v>46295</v>
      </c>
      <c r="B519">
        <f t="shared" si="8"/>
        <v>4</v>
      </c>
      <c r="C519" s="4">
        <v>34108</v>
      </c>
    </row>
    <row r="520" spans="1:3" x14ac:dyDescent="0.45">
      <c r="A520" s="3">
        <v>46296</v>
      </c>
      <c r="B520">
        <f t="shared" si="8"/>
        <v>5</v>
      </c>
      <c r="C520" s="4">
        <v>34214</v>
      </c>
    </row>
    <row r="521" spans="1:3" x14ac:dyDescent="0.45">
      <c r="A521" s="3">
        <v>46297</v>
      </c>
      <c r="B521">
        <f t="shared" si="8"/>
        <v>6</v>
      </c>
      <c r="C521" s="4">
        <v>35084</v>
      </c>
    </row>
    <row r="522" spans="1:3" x14ac:dyDescent="0.45">
      <c r="A522" s="3">
        <v>46298</v>
      </c>
      <c r="B522">
        <f t="shared" si="8"/>
        <v>7</v>
      </c>
      <c r="C522" s="4">
        <v>39298</v>
      </c>
    </row>
    <row r="523" spans="1:3" x14ac:dyDescent="0.45">
      <c r="A523" s="3">
        <v>46299</v>
      </c>
      <c r="B523">
        <f t="shared" si="8"/>
        <v>1</v>
      </c>
      <c r="C523" s="4">
        <v>36848</v>
      </c>
    </row>
    <row r="524" spans="1:3" x14ac:dyDescent="0.45">
      <c r="A524" s="3">
        <v>46300</v>
      </c>
      <c r="B524">
        <f t="shared" si="8"/>
        <v>2</v>
      </c>
      <c r="C524" s="4">
        <v>32128</v>
      </c>
    </row>
    <row r="525" spans="1:3" x14ac:dyDescent="0.45">
      <c r="A525" s="3">
        <v>46301</v>
      </c>
      <c r="B525">
        <f t="shared" si="8"/>
        <v>3</v>
      </c>
      <c r="C525" s="4">
        <v>33061</v>
      </c>
    </row>
    <row r="526" spans="1:3" x14ac:dyDescent="0.45">
      <c r="A526" s="3">
        <v>46302</v>
      </c>
      <c r="B526">
        <f t="shared" si="8"/>
        <v>4</v>
      </c>
      <c r="C526" s="4">
        <v>33948</v>
      </c>
    </row>
    <row r="527" spans="1:3" x14ac:dyDescent="0.45">
      <c r="A527" s="3">
        <v>46303</v>
      </c>
      <c r="B527">
        <f t="shared" si="8"/>
        <v>5</v>
      </c>
      <c r="C527" s="4">
        <v>35760</v>
      </c>
    </row>
    <row r="528" spans="1:3" x14ac:dyDescent="0.45">
      <c r="A528" s="3">
        <v>46304</v>
      </c>
      <c r="B528">
        <f t="shared" si="8"/>
        <v>6</v>
      </c>
      <c r="C528" s="4">
        <v>36369</v>
      </c>
    </row>
    <row r="529" spans="1:3" x14ac:dyDescent="0.45">
      <c r="A529" s="3">
        <v>46305</v>
      </c>
      <c r="B529">
        <f t="shared" si="8"/>
        <v>7</v>
      </c>
      <c r="C529" s="4">
        <v>39643</v>
      </c>
    </row>
    <row r="530" spans="1:3" x14ac:dyDescent="0.45">
      <c r="A530" s="3">
        <v>46306</v>
      </c>
      <c r="B530">
        <f t="shared" si="8"/>
        <v>1</v>
      </c>
      <c r="C530" s="4">
        <v>35753</v>
      </c>
    </row>
    <row r="531" spans="1:3" x14ac:dyDescent="0.45">
      <c r="A531" s="3">
        <v>46307</v>
      </c>
      <c r="B531">
        <f t="shared" si="8"/>
        <v>2</v>
      </c>
      <c r="C531" s="4">
        <v>31800</v>
      </c>
    </row>
    <row r="532" spans="1:3" x14ac:dyDescent="0.45">
      <c r="A532" s="3">
        <v>46308</v>
      </c>
      <c r="B532">
        <f t="shared" si="8"/>
        <v>3</v>
      </c>
      <c r="C532" s="4">
        <v>33252</v>
      </c>
    </row>
    <row r="533" spans="1:3" x14ac:dyDescent="0.45">
      <c r="A533" s="3">
        <v>46309</v>
      </c>
      <c r="B533">
        <f t="shared" si="8"/>
        <v>4</v>
      </c>
      <c r="C533" s="4">
        <v>35140</v>
      </c>
    </row>
    <row r="534" spans="1:3" x14ac:dyDescent="0.45">
      <c r="A534" s="3">
        <v>46310</v>
      </c>
      <c r="B534">
        <f t="shared" si="8"/>
        <v>5</v>
      </c>
      <c r="C534" s="4">
        <v>35584</v>
      </c>
    </row>
    <row r="535" spans="1:3" x14ac:dyDescent="0.45">
      <c r="A535" s="3">
        <v>46311</v>
      </c>
      <c r="B535">
        <f t="shared" si="8"/>
        <v>6</v>
      </c>
      <c r="C535" s="4">
        <v>35549</v>
      </c>
    </row>
    <row r="536" spans="1:3" x14ac:dyDescent="0.45">
      <c r="A536" s="3">
        <v>46312</v>
      </c>
      <c r="B536">
        <f t="shared" si="8"/>
        <v>7</v>
      </c>
      <c r="C536" s="4">
        <v>39038</v>
      </c>
    </row>
    <row r="537" spans="1:3" x14ac:dyDescent="0.45">
      <c r="A537" s="3">
        <v>46313</v>
      </c>
      <c r="B537">
        <f t="shared" si="8"/>
        <v>1</v>
      </c>
      <c r="C537" s="4">
        <v>37930</v>
      </c>
    </row>
    <row r="538" spans="1:3" x14ac:dyDescent="0.45">
      <c r="A538" s="3">
        <v>46314</v>
      </c>
      <c r="B538">
        <f t="shared" si="8"/>
        <v>2</v>
      </c>
      <c r="C538" s="4">
        <v>32783</v>
      </c>
    </row>
    <row r="539" spans="1:3" x14ac:dyDescent="0.45">
      <c r="A539" s="3">
        <v>46315</v>
      </c>
      <c r="B539">
        <f t="shared" si="8"/>
        <v>3</v>
      </c>
      <c r="C539" s="4">
        <v>33870</v>
      </c>
    </row>
    <row r="540" spans="1:3" x14ac:dyDescent="0.45">
      <c r="A540" s="3">
        <v>46316</v>
      </c>
      <c r="B540">
        <f t="shared" si="8"/>
        <v>4</v>
      </c>
      <c r="C540" s="4">
        <v>33334</v>
      </c>
    </row>
    <row r="541" spans="1:3" x14ac:dyDescent="0.45">
      <c r="A541" s="3">
        <v>46317</v>
      </c>
      <c r="B541">
        <f t="shared" si="8"/>
        <v>5</v>
      </c>
      <c r="C541" s="4">
        <v>34804</v>
      </c>
    </row>
    <row r="542" spans="1:3" x14ac:dyDescent="0.45">
      <c r="A542" s="3">
        <v>46318</v>
      </c>
      <c r="B542">
        <f t="shared" si="8"/>
        <v>6</v>
      </c>
      <c r="C542" s="4">
        <v>34787</v>
      </c>
    </row>
    <row r="543" spans="1:3" x14ac:dyDescent="0.45">
      <c r="A543" s="3">
        <v>46319</v>
      </c>
      <c r="B543">
        <f t="shared" si="8"/>
        <v>7</v>
      </c>
      <c r="C543" s="4">
        <v>38391</v>
      </c>
    </row>
    <row r="544" spans="1:3" x14ac:dyDescent="0.45">
      <c r="A544" s="3">
        <v>46320</v>
      </c>
      <c r="B544">
        <f t="shared" si="8"/>
        <v>1</v>
      </c>
      <c r="C544" s="4">
        <v>35766</v>
      </c>
    </row>
    <row r="545" spans="1:3" x14ac:dyDescent="0.45">
      <c r="A545" s="3">
        <v>46321</v>
      </c>
      <c r="B545">
        <f t="shared" si="8"/>
        <v>2</v>
      </c>
      <c r="C545" s="4">
        <v>31815</v>
      </c>
    </row>
    <row r="546" spans="1:3" x14ac:dyDescent="0.45">
      <c r="A546" s="3">
        <v>46322</v>
      </c>
      <c r="B546">
        <f t="shared" si="8"/>
        <v>3</v>
      </c>
      <c r="C546" s="4">
        <v>33267</v>
      </c>
    </row>
    <row r="547" spans="1:3" x14ac:dyDescent="0.45">
      <c r="A547" s="3">
        <v>46323</v>
      </c>
      <c r="B547">
        <f t="shared" si="8"/>
        <v>4</v>
      </c>
      <c r="C547" s="4">
        <v>33523</v>
      </c>
    </row>
    <row r="548" spans="1:3" x14ac:dyDescent="0.45">
      <c r="A548" s="3">
        <v>46324</v>
      </c>
      <c r="B548">
        <f t="shared" si="8"/>
        <v>5</v>
      </c>
      <c r="C548" s="4">
        <v>35605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48"/>
  <sheetViews>
    <sheetView workbookViewId="0"/>
  </sheetViews>
  <sheetFormatPr defaultRowHeight="14.25" x14ac:dyDescent="0.45"/>
  <cols>
    <col min="1" max="1" width="12" customWidth="1"/>
    <col min="3" max="3" width="40" customWidth="1"/>
  </cols>
  <sheetData>
    <row r="1" spans="1:3" x14ac:dyDescent="0.45">
      <c r="A1" t="s">
        <v>56</v>
      </c>
      <c r="B1" t="s">
        <v>57</v>
      </c>
      <c r="C1" t="s">
        <v>58</v>
      </c>
    </row>
    <row r="2" spans="1:3" x14ac:dyDescent="0.45">
      <c r="A2" s="3">
        <v>45778</v>
      </c>
      <c r="B2">
        <f t="shared" ref="B2:B65" si="0">WEEKDAY(A2,1)</f>
        <v>5</v>
      </c>
      <c r="C2" s="4">
        <v>18744</v>
      </c>
    </row>
    <row r="3" spans="1:3" x14ac:dyDescent="0.45">
      <c r="A3" s="3">
        <v>45779</v>
      </c>
      <c r="B3">
        <f t="shared" si="0"/>
        <v>6</v>
      </c>
      <c r="C3" s="4">
        <v>19331</v>
      </c>
    </row>
    <row r="4" spans="1:3" x14ac:dyDescent="0.45">
      <c r="A4" s="3">
        <v>45780</v>
      </c>
      <c r="B4">
        <f t="shared" si="0"/>
        <v>7</v>
      </c>
      <c r="C4" s="4">
        <v>21533</v>
      </c>
    </row>
    <row r="5" spans="1:3" x14ac:dyDescent="0.45">
      <c r="A5" s="3">
        <v>45781</v>
      </c>
      <c r="B5">
        <f t="shared" si="0"/>
        <v>1</v>
      </c>
      <c r="C5" s="4">
        <v>18889</v>
      </c>
    </row>
    <row r="6" spans="1:3" x14ac:dyDescent="0.45">
      <c r="A6" s="3">
        <v>45782</v>
      </c>
      <c r="B6">
        <f t="shared" si="0"/>
        <v>2</v>
      </c>
      <c r="C6" s="4">
        <v>17591</v>
      </c>
    </row>
    <row r="7" spans="1:3" x14ac:dyDescent="0.45">
      <c r="A7" s="3">
        <v>45783</v>
      </c>
      <c r="B7">
        <f t="shared" si="0"/>
        <v>3</v>
      </c>
      <c r="C7" s="4">
        <v>17880</v>
      </c>
    </row>
    <row r="8" spans="1:3" x14ac:dyDescent="0.45">
      <c r="A8" s="3">
        <v>45784</v>
      </c>
      <c r="B8">
        <f t="shared" si="0"/>
        <v>4</v>
      </c>
      <c r="C8" s="4">
        <v>17964</v>
      </c>
    </row>
    <row r="9" spans="1:3" x14ac:dyDescent="0.45">
      <c r="A9" s="3">
        <v>45785</v>
      </c>
      <c r="B9">
        <f t="shared" si="0"/>
        <v>5</v>
      </c>
      <c r="C9" s="4">
        <v>18344</v>
      </c>
    </row>
    <row r="10" spans="1:3" x14ac:dyDescent="0.45">
      <c r="A10" s="3">
        <v>45786</v>
      </c>
      <c r="B10">
        <f t="shared" si="0"/>
        <v>6</v>
      </c>
      <c r="C10" s="4">
        <v>19003</v>
      </c>
    </row>
    <row r="11" spans="1:3" x14ac:dyDescent="0.45">
      <c r="A11" s="3">
        <v>45787</v>
      </c>
      <c r="B11">
        <f t="shared" si="0"/>
        <v>7</v>
      </c>
      <c r="C11" s="4">
        <v>20788</v>
      </c>
    </row>
    <row r="12" spans="1:3" x14ac:dyDescent="0.45">
      <c r="A12" s="3">
        <v>45788</v>
      </c>
      <c r="B12">
        <f t="shared" si="0"/>
        <v>1</v>
      </c>
      <c r="C12" s="4">
        <v>20381</v>
      </c>
    </row>
    <row r="13" spans="1:3" x14ac:dyDescent="0.45">
      <c r="A13" s="3">
        <v>45789</v>
      </c>
      <c r="B13">
        <f t="shared" si="0"/>
        <v>2</v>
      </c>
      <c r="C13" s="4">
        <v>16715</v>
      </c>
    </row>
    <row r="14" spans="1:3" x14ac:dyDescent="0.45">
      <c r="A14" s="3">
        <v>45790</v>
      </c>
      <c r="B14">
        <f t="shared" si="0"/>
        <v>3</v>
      </c>
      <c r="C14" s="4">
        <v>17169</v>
      </c>
    </row>
    <row r="15" spans="1:3" x14ac:dyDescent="0.45">
      <c r="A15" s="3">
        <v>45791</v>
      </c>
      <c r="B15">
        <f t="shared" si="0"/>
        <v>4</v>
      </c>
      <c r="C15" s="4">
        <v>18008</v>
      </c>
    </row>
    <row r="16" spans="1:3" x14ac:dyDescent="0.45">
      <c r="A16" s="3">
        <v>45792</v>
      </c>
      <c r="B16">
        <f t="shared" si="0"/>
        <v>5</v>
      </c>
      <c r="C16" s="4">
        <v>18959</v>
      </c>
    </row>
    <row r="17" spans="1:3" x14ac:dyDescent="0.45">
      <c r="A17" s="3">
        <v>45793</v>
      </c>
      <c r="B17">
        <f t="shared" si="0"/>
        <v>6</v>
      </c>
      <c r="C17" s="4">
        <v>19912</v>
      </c>
    </row>
    <row r="18" spans="1:3" x14ac:dyDescent="0.45">
      <c r="A18" s="3">
        <v>45794</v>
      </c>
      <c r="B18">
        <f t="shared" si="0"/>
        <v>7</v>
      </c>
      <c r="C18" s="4">
        <v>20849</v>
      </c>
    </row>
    <row r="19" spans="1:3" x14ac:dyDescent="0.45">
      <c r="A19" s="3">
        <v>45795</v>
      </c>
      <c r="B19">
        <f t="shared" si="0"/>
        <v>1</v>
      </c>
      <c r="C19" s="4">
        <v>19509</v>
      </c>
    </row>
    <row r="20" spans="1:3" x14ac:dyDescent="0.45">
      <c r="A20" s="3">
        <v>45796</v>
      </c>
      <c r="B20">
        <f t="shared" si="0"/>
        <v>2</v>
      </c>
      <c r="C20" s="4">
        <v>16968</v>
      </c>
    </row>
    <row r="21" spans="1:3" x14ac:dyDescent="0.45">
      <c r="A21" s="3">
        <v>45797</v>
      </c>
      <c r="B21">
        <f t="shared" si="0"/>
        <v>3</v>
      </c>
      <c r="C21" s="4">
        <v>18451</v>
      </c>
    </row>
    <row r="22" spans="1:3" x14ac:dyDescent="0.45">
      <c r="A22" s="3">
        <v>45798</v>
      </c>
      <c r="B22">
        <f t="shared" si="0"/>
        <v>4</v>
      </c>
      <c r="C22" s="4">
        <v>18313</v>
      </c>
    </row>
    <row r="23" spans="1:3" x14ac:dyDescent="0.45">
      <c r="A23" s="3">
        <v>45799</v>
      </c>
      <c r="B23">
        <f t="shared" si="0"/>
        <v>5</v>
      </c>
      <c r="C23" s="4">
        <v>18552</v>
      </c>
    </row>
    <row r="24" spans="1:3" x14ac:dyDescent="0.45">
      <c r="A24" s="3">
        <v>45800</v>
      </c>
      <c r="B24">
        <f t="shared" si="0"/>
        <v>6</v>
      </c>
      <c r="C24" s="4">
        <v>19699</v>
      </c>
    </row>
    <row r="25" spans="1:3" x14ac:dyDescent="0.45">
      <c r="A25" s="3">
        <v>45801</v>
      </c>
      <c r="B25">
        <f t="shared" si="0"/>
        <v>7</v>
      </c>
      <c r="C25" s="4">
        <v>20432</v>
      </c>
    </row>
    <row r="26" spans="1:3" x14ac:dyDescent="0.45">
      <c r="A26" s="3">
        <v>45802</v>
      </c>
      <c r="B26">
        <f t="shared" si="0"/>
        <v>1</v>
      </c>
      <c r="C26" s="4">
        <v>19831</v>
      </c>
    </row>
    <row r="27" spans="1:3" x14ac:dyDescent="0.45">
      <c r="A27" s="3">
        <v>45803</v>
      </c>
      <c r="B27">
        <f t="shared" si="0"/>
        <v>2</v>
      </c>
      <c r="C27" s="4">
        <v>16951</v>
      </c>
    </row>
    <row r="28" spans="1:3" x14ac:dyDescent="0.45">
      <c r="A28" s="3">
        <v>45804</v>
      </c>
      <c r="B28">
        <f t="shared" si="0"/>
        <v>3</v>
      </c>
      <c r="C28" s="4">
        <v>18364</v>
      </c>
    </row>
    <row r="29" spans="1:3" x14ac:dyDescent="0.45">
      <c r="A29" s="3">
        <v>45805</v>
      </c>
      <c r="B29">
        <f t="shared" si="0"/>
        <v>4</v>
      </c>
      <c r="C29" s="4">
        <v>18166</v>
      </c>
    </row>
    <row r="30" spans="1:3" x14ac:dyDescent="0.45">
      <c r="A30" s="3">
        <v>45806</v>
      </c>
      <c r="B30">
        <f t="shared" si="0"/>
        <v>5</v>
      </c>
      <c r="C30" s="4">
        <v>18884</v>
      </c>
    </row>
    <row r="31" spans="1:3" x14ac:dyDescent="0.45">
      <c r="A31" s="3">
        <v>45807</v>
      </c>
      <c r="B31">
        <f t="shared" si="0"/>
        <v>6</v>
      </c>
      <c r="C31" s="4">
        <v>19884</v>
      </c>
    </row>
    <row r="32" spans="1:3" x14ac:dyDescent="0.45">
      <c r="A32" s="3">
        <v>45808</v>
      </c>
      <c r="B32">
        <f t="shared" si="0"/>
        <v>7</v>
      </c>
      <c r="C32" s="4">
        <v>21200</v>
      </c>
    </row>
    <row r="33" spans="1:3" x14ac:dyDescent="0.45">
      <c r="A33" s="3">
        <v>45809</v>
      </c>
      <c r="B33">
        <f t="shared" si="0"/>
        <v>1</v>
      </c>
      <c r="C33" s="4">
        <v>18886</v>
      </c>
    </row>
    <row r="34" spans="1:3" x14ac:dyDescent="0.45">
      <c r="A34" s="3">
        <v>45810</v>
      </c>
      <c r="B34">
        <f t="shared" si="0"/>
        <v>2</v>
      </c>
      <c r="C34" s="4">
        <v>17804</v>
      </c>
    </row>
    <row r="35" spans="1:3" x14ac:dyDescent="0.45">
      <c r="A35" s="3">
        <v>45811</v>
      </c>
      <c r="B35">
        <f t="shared" si="0"/>
        <v>3</v>
      </c>
      <c r="C35" s="4">
        <v>17341</v>
      </c>
    </row>
    <row r="36" spans="1:3" x14ac:dyDescent="0.45">
      <c r="A36" s="3">
        <v>45812</v>
      </c>
      <c r="B36">
        <f t="shared" si="0"/>
        <v>4</v>
      </c>
      <c r="C36" s="4">
        <v>18014</v>
      </c>
    </row>
    <row r="37" spans="1:3" x14ac:dyDescent="0.45">
      <c r="A37" s="3">
        <v>45813</v>
      </c>
      <c r="B37">
        <f t="shared" si="0"/>
        <v>5</v>
      </c>
      <c r="C37" s="4">
        <v>18840</v>
      </c>
    </row>
    <row r="38" spans="1:3" x14ac:dyDescent="0.45">
      <c r="A38" s="3">
        <v>45814</v>
      </c>
      <c r="B38">
        <f t="shared" si="0"/>
        <v>6</v>
      </c>
      <c r="C38" s="4">
        <v>18839</v>
      </c>
    </row>
    <row r="39" spans="1:3" x14ac:dyDescent="0.45">
      <c r="A39" s="3">
        <v>45815</v>
      </c>
      <c r="B39">
        <f t="shared" si="0"/>
        <v>7</v>
      </c>
      <c r="C39" s="4">
        <v>20366</v>
      </c>
    </row>
    <row r="40" spans="1:3" x14ac:dyDescent="0.45">
      <c r="A40" s="3">
        <v>45816</v>
      </c>
      <c r="B40">
        <f t="shared" si="0"/>
        <v>1</v>
      </c>
      <c r="C40" s="4">
        <v>19998</v>
      </c>
    </row>
    <row r="41" spans="1:3" x14ac:dyDescent="0.45">
      <c r="A41" s="3">
        <v>45817</v>
      </c>
      <c r="B41">
        <f t="shared" si="0"/>
        <v>2</v>
      </c>
      <c r="C41" s="4">
        <v>16692</v>
      </c>
    </row>
    <row r="42" spans="1:3" x14ac:dyDescent="0.45">
      <c r="A42" s="3">
        <v>45818</v>
      </c>
      <c r="B42">
        <f t="shared" si="0"/>
        <v>3</v>
      </c>
      <c r="C42" s="4">
        <v>17780</v>
      </c>
    </row>
    <row r="43" spans="1:3" x14ac:dyDescent="0.45">
      <c r="A43" s="3">
        <v>45819</v>
      </c>
      <c r="B43">
        <f t="shared" si="0"/>
        <v>4</v>
      </c>
      <c r="C43" s="4">
        <v>17743</v>
      </c>
    </row>
    <row r="44" spans="1:3" x14ac:dyDescent="0.45">
      <c r="A44" s="3">
        <v>45820</v>
      </c>
      <c r="B44">
        <f t="shared" si="0"/>
        <v>5</v>
      </c>
      <c r="C44" s="4">
        <v>19380</v>
      </c>
    </row>
    <row r="45" spans="1:3" x14ac:dyDescent="0.45">
      <c r="A45" s="3">
        <v>45821</v>
      </c>
      <c r="B45">
        <f t="shared" si="0"/>
        <v>6</v>
      </c>
      <c r="C45" s="4">
        <v>19149</v>
      </c>
    </row>
    <row r="46" spans="1:3" x14ac:dyDescent="0.45">
      <c r="A46" s="3">
        <v>45822</v>
      </c>
      <c r="B46">
        <f t="shared" si="0"/>
        <v>7</v>
      </c>
      <c r="C46" s="4">
        <v>21151</v>
      </c>
    </row>
    <row r="47" spans="1:3" x14ac:dyDescent="0.45">
      <c r="A47" s="3">
        <v>45823</v>
      </c>
      <c r="B47">
        <f t="shared" si="0"/>
        <v>1</v>
      </c>
      <c r="C47" s="4">
        <v>20327</v>
      </c>
    </row>
    <row r="48" spans="1:3" x14ac:dyDescent="0.45">
      <c r="A48" s="3">
        <v>45824</v>
      </c>
      <c r="B48">
        <f t="shared" si="0"/>
        <v>2</v>
      </c>
      <c r="C48" s="4">
        <v>16888</v>
      </c>
    </row>
    <row r="49" spans="1:3" x14ac:dyDescent="0.45">
      <c r="A49" s="3">
        <v>45825</v>
      </c>
      <c r="B49">
        <f t="shared" si="0"/>
        <v>3</v>
      </c>
      <c r="C49" s="4">
        <v>17228</v>
      </c>
    </row>
    <row r="50" spans="1:3" x14ac:dyDescent="0.45">
      <c r="A50" s="3">
        <v>45826</v>
      </c>
      <c r="B50">
        <f t="shared" si="0"/>
        <v>4</v>
      </c>
      <c r="C50" s="4">
        <v>18732</v>
      </c>
    </row>
    <row r="51" spans="1:3" x14ac:dyDescent="0.45">
      <c r="A51" s="3">
        <v>45827</v>
      </c>
      <c r="B51">
        <f t="shared" si="0"/>
        <v>5</v>
      </c>
      <c r="C51" s="4">
        <v>19403</v>
      </c>
    </row>
    <row r="52" spans="1:3" x14ac:dyDescent="0.45">
      <c r="A52" s="3">
        <v>45828</v>
      </c>
      <c r="B52">
        <f t="shared" si="0"/>
        <v>6</v>
      </c>
      <c r="C52" s="4">
        <v>18663</v>
      </c>
    </row>
    <row r="53" spans="1:3" x14ac:dyDescent="0.45">
      <c r="A53" s="3">
        <v>45829</v>
      </c>
      <c r="B53">
        <f t="shared" si="0"/>
        <v>7</v>
      </c>
      <c r="C53" s="4">
        <v>21850</v>
      </c>
    </row>
    <row r="54" spans="1:3" x14ac:dyDescent="0.45">
      <c r="A54" s="3">
        <v>45830</v>
      </c>
      <c r="B54">
        <f t="shared" si="0"/>
        <v>1</v>
      </c>
      <c r="C54" s="4">
        <v>19079</v>
      </c>
    </row>
    <row r="55" spans="1:3" x14ac:dyDescent="0.45">
      <c r="A55" s="3">
        <v>45831</v>
      </c>
      <c r="B55">
        <f t="shared" si="0"/>
        <v>2</v>
      </c>
      <c r="C55" s="4">
        <v>17174</v>
      </c>
    </row>
    <row r="56" spans="1:3" x14ac:dyDescent="0.45">
      <c r="A56" s="3">
        <v>45832</v>
      </c>
      <c r="B56">
        <f t="shared" si="0"/>
        <v>3</v>
      </c>
      <c r="C56" s="4">
        <v>17500</v>
      </c>
    </row>
    <row r="57" spans="1:3" x14ac:dyDescent="0.45">
      <c r="A57" s="3">
        <v>45833</v>
      </c>
      <c r="B57">
        <f t="shared" si="0"/>
        <v>4</v>
      </c>
      <c r="C57" s="4">
        <v>17986</v>
      </c>
    </row>
    <row r="58" spans="1:3" x14ac:dyDescent="0.45">
      <c r="A58" s="3">
        <v>45834</v>
      </c>
      <c r="B58">
        <f t="shared" si="0"/>
        <v>5</v>
      </c>
      <c r="C58" s="4">
        <v>18493</v>
      </c>
    </row>
    <row r="59" spans="1:3" x14ac:dyDescent="0.45">
      <c r="A59" s="3">
        <v>45835</v>
      </c>
      <c r="B59">
        <f t="shared" si="0"/>
        <v>6</v>
      </c>
      <c r="C59" s="4">
        <v>19876</v>
      </c>
    </row>
    <row r="60" spans="1:3" x14ac:dyDescent="0.45">
      <c r="A60" s="3">
        <v>45836</v>
      </c>
      <c r="B60">
        <f t="shared" si="0"/>
        <v>7</v>
      </c>
      <c r="C60" s="4">
        <v>21184</v>
      </c>
    </row>
    <row r="61" spans="1:3" x14ac:dyDescent="0.45">
      <c r="A61" s="3">
        <v>45837</v>
      </c>
      <c r="B61">
        <f t="shared" si="0"/>
        <v>1</v>
      </c>
      <c r="C61" s="4">
        <v>19330</v>
      </c>
    </row>
    <row r="62" spans="1:3" x14ac:dyDescent="0.45">
      <c r="A62" s="3">
        <v>45838</v>
      </c>
      <c r="B62">
        <f t="shared" si="0"/>
        <v>2</v>
      </c>
      <c r="C62" s="4">
        <v>17737</v>
      </c>
    </row>
    <row r="63" spans="1:3" x14ac:dyDescent="0.45">
      <c r="A63" s="3">
        <v>45839</v>
      </c>
      <c r="B63">
        <f t="shared" si="0"/>
        <v>3</v>
      </c>
      <c r="C63" s="4">
        <v>17872</v>
      </c>
    </row>
    <row r="64" spans="1:3" x14ac:dyDescent="0.45">
      <c r="A64" s="3">
        <v>45840</v>
      </c>
      <c r="B64">
        <f t="shared" si="0"/>
        <v>4</v>
      </c>
      <c r="C64" s="4">
        <v>17966</v>
      </c>
    </row>
    <row r="65" spans="1:3" x14ac:dyDescent="0.45">
      <c r="A65" s="3">
        <v>45841</v>
      </c>
      <c r="B65">
        <f t="shared" si="0"/>
        <v>5</v>
      </c>
      <c r="C65" s="4">
        <v>18841</v>
      </c>
    </row>
    <row r="66" spans="1:3" x14ac:dyDescent="0.45">
      <c r="A66" s="3">
        <v>45842</v>
      </c>
      <c r="B66">
        <f t="shared" ref="B66:B129" si="1">WEEKDAY(A66,1)</f>
        <v>6</v>
      </c>
      <c r="C66" s="4">
        <v>18986</v>
      </c>
    </row>
    <row r="67" spans="1:3" x14ac:dyDescent="0.45">
      <c r="A67" s="3">
        <v>45843</v>
      </c>
      <c r="B67">
        <f t="shared" si="1"/>
        <v>7</v>
      </c>
      <c r="C67" s="4">
        <v>21777</v>
      </c>
    </row>
    <row r="68" spans="1:3" x14ac:dyDescent="0.45">
      <c r="A68" s="3">
        <v>45844</v>
      </c>
      <c r="B68">
        <f t="shared" si="1"/>
        <v>1</v>
      </c>
      <c r="C68" s="4">
        <v>20245</v>
      </c>
    </row>
    <row r="69" spans="1:3" x14ac:dyDescent="0.45">
      <c r="A69" s="3">
        <v>45845</v>
      </c>
      <c r="B69">
        <f t="shared" si="1"/>
        <v>2</v>
      </c>
      <c r="C69" s="4">
        <v>17489</v>
      </c>
    </row>
    <row r="70" spans="1:3" x14ac:dyDescent="0.45">
      <c r="A70" s="3">
        <v>45846</v>
      </c>
      <c r="B70">
        <f t="shared" si="1"/>
        <v>3</v>
      </c>
      <c r="C70" s="4">
        <v>17255</v>
      </c>
    </row>
    <row r="71" spans="1:3" x14ac:dyDescent="0.45">
      <c r="A71" s="3">
        <v>45847</v>
      </c>
      <c r="B71">
        <f t="shared" si="1"/>
        <v>4</v>
      </c>
      <c r="C71" s="4">
        <v>19090</v>
      </c>
    </row>
    <row r="72" spans="1:3" x14ac:dyDescent="0.45">
      <c r="A72" s="3">
        <v>45848</v>
      </c>
      <c r="B72">
        <f t="shared" si="1"/>
        <v>5</v>
      </c>
      <c r="C72" s="4">
        <v>19101</v>
      </c>
    </row>
    <row r="73" spans="1:3" x14ac:dyDescent="0.45">
      <c r="A73" s="3">
        <v>45849</v>
      </c>
      <c r="B73">
        <f t="shared" si="1"/>
        <v>6</v>
      </c>
      <c r="C73" s="4">
        <v>19882</v>
      </c>
    </row>
    <row r="74" spans="1:3" x14ac:dyDescent="0.45">
      <c r="A74" s="3">
        <v>45850</v>
      </c>
      <c r="B74">
        <f t="shared" si="1"/>
        <v>7</v>
      </c>
      <c r="C74" s="4">
        <v>21006</v>
      </c>
    </row>
    <row r="75" spans="1:3" x14ac:dyDescent="0.45">
      <c r="A75" s="3">
        <v>45851</v>
      </c>
      <c r="B75">
        <f t="shared" si="1"/>
        <v>1</v>
      </c>
      <c r="C75" s="4">
        <v>19189</v>
      </c>
    </row>
    <row r="76" spans="1:3" x14ac:dyDescent="0.45">
      <c r="A76" s="3">
        <v>45852</v>
      </c>
      <c r="B76">
        <f t="shared" si="1"/>
        <v>2</v>
      </c>
      <c r="C76" s="4">
        <v>17746</v>
      </c>
    </row>
    <row r="77" spans="1:3" x14ac:dyDescent="0.45">
      <c r="A77" s="3">
        <v>45853</v>
      </c>
      <c r="B77">
        <f t="shared" si="1"/>
        <v>3</v>
      </c>
      <c r="C77" s="4">
        <v>17209</v>
      </c>
    </row>
    <row r="78" spans="1:3" x14ac:dyDescent="0.45">
      <c r="A78" s="3">
        <v>45854</v>
      </c>
      <c r="B78">
        <f t="shared" si="1"/>
        <v>4</v>
      </c>
      <c r="C78" s="4">
        <v>18923</v>
      </c>
    </row>
    <row r="79" spans="1:3" x14ac:dyDescent="0.45">
      <c r="A79" s="3">
        <v>45855</v>
      </c>
      <c r="B79">
        <f t="shared" si="1"/>
        <v>5</v>
      </c>
      <c r="C79" s="4">
        <v>19112</v>
      </c>
    </row>
    <row r="80" spans="1:3" x14ac:dyDescent="0.45">
      <c r="A80" s="3">
        <v>45856</v>
      </c>
      <c r="B80">
        <f t="shared" si="1"/>
        <v>6</v>
      </c>
      <c r="C80" s="4">
        <v>19161</v>
      </c>
    </row>
    <row r="81" spans="1:3" x14ac:dyDescent="0.45">
      <c r="A81" s="3">
        <v>45857</v>
      </c>
      <c r="B81">
        <f t="shared" si="1"/>
        <v>7</v>
      </c>
      <c r="C81" s="4">
        <v>21578</v>
      </c>
    </row>
    <row r="82" spans="1:3" x14ac:dyDescent="0.45">
      <c r="A82" s="3">
        <v>45858</v>
      </c>
      <c r="B82">
        <f t="shared" si="1"/>
        <v>1</v>
      </c>
      <c r="C82" s="4">
        <v>20494</v>
      </c>
    </row>
    <row r="83" spans="1:3" x14ac:dyDescent="0.45">
      <c r="A83" s="3">
        <v>45859</v>
      </c>
      <c r="B83">
        <f t="shared" si="1"/>
        <v>2</v>
      </c>
      <c r="C83" s="4">
        <v>17866</v>
      </c>
    </row>
    <row r="84" spans="1:3" x14ac:dyDescent="0.45">
      <c r="A84" s="3">
        <v>45860</v>
      </c>
      <c r="B84">
        <f t="shared" si="1"/>
        <v>3</v>
      </c>
      <c r="C84" s="4">
        <v>17676</v>
      </c>
    </row>
    <row r="85" spans="1:3" x14ac:dyDescent="0.45">
      <c r="A85" s="3">
        <v>45861</v>
      </c>
      <c r="B85">
        <f t="shared" si="1"/>
        <v>4</v>
      </c>
      <c r="C85" s="4">
        <v>18175</v>
      </c>
    </row>
    <row r="86" spans="1:3" x14ac:dyDescent="0.45">
      <c r="A86" s="3">
        <v>45862</v>
      </c>
      <c r="B86">
        <f t="shared" si="1"/>
        <v>5</v>
      </c>
      <c r="C86" s="4">
        <v>19128</v>
      </c>
    </row>
    <row r="87" spans="1:3" x14ac:dyDescent="0.45">
      <c r="A87" s="3">
        <v>45863</v>
      </c>
      <c r="B87">
        <f t="shared" si="1"/>
        <v>6</v>
      </c>
      <c r="C87" s="4">
        <v>19197</v>
      </c>
    </row>
    <row r="88" spans="1:3" x14ac:dyDescent="0.45">
      <c r="A88" s="3">
        <v>45864</v>
      </c>
      <c r="B88">
        <f t="shared" si="1"/>
        <v>7</v>
      </c>
      <c r="C88" s="4">
        <v>20554</v>
      </c>
    </row>
    <row r="89" spans="1:3" x14ac:dyDescent="0.45">
      <c r="A89" s="3">
        <v>45865</v>
      </c>
      <c r="B89">
        <f t="shared" si="1"/>
        <v>1</v>
      </c>
      <c r="C89" s="4">
        <v>19081</v>
      </c>
    </row>
    <row r="90" spans="1:3" x14ac:dyDescent="0.45">
      <c r="A90" s="3">
        <v>45866</v>
      </c>
      <c r="B90">
        <f t="shared" si="1"/>
        <v>2</v>
      </c>
      <c r="C90" s="4">
        <v>16743</v>
      </c>
    </row>
    <row r="91" spans="1:3" x14ac:dyDescent="0.45">
      <c r="A91" s="3">
        <v>45867</v>
      </c>
      <c r="B91">
        <f t="shared" si="1"/>
        <v>3</v>
      </c>
      <c r="C91" s="4">
        <v>18226</v>
      </c>
    </row>
    <row r="92" spans="1:3" x14ac:dyDescent="0.45">
      <c r="A92" s="3">
        <v>45868</v>
      </c>
      <c r="B92">
        <f t="shared" si="1"/>
        <v>4</v>
      </c>
      <c r="C92" s="4">
        <v>18323</v>
      </c>
    </row>
    <row r="93" spans="1:3" x14ac:dyDescent="0.45">
      <c r="A93" s="3">
        <v>45869</v>
      </c>
      <c r="B93">
        <f t="shared" si="1"/>
        <v>5</v>
      </c>
      <c r="C93" s="4">
        <v>19216</v>
      </c>
    </row>
    <row r="94" spans="1:3" x14ac:dyDescent="0.45">
      <c r="A94" s="3">
        <v>45870</v>
      </c>
      <c r="B94">
        <f t="shared" si="1"/>
        <v>6</v>
      </c>
      <c r="C94" s="4">
        <v>20009</v>
      </c>
    </row>
    <row r="95" spans="1:3" x14ac:dyDescent="0.45">
      <c r="A95" s="3">
        <v>45871</v>
      </c>
      <c r="B95">
        <f t="shared" si="1"/>
        <v>7</v>
      </c>
      <c r="C95" s="4">
        <v>20866</v>
      </c>
    </row>
    <row r="96" spans="1:3" x14ac:dyDescent="0.45">
      <c r="A96" s="3">
        <v>45872</v>
      </c>
      <c r="B96">
        <f t="shared" si="1"/>
        <v>1</v>
      </c>
      <c r="C96" s="4">
        <v>19367</v>
      </c>
    </row>
    <row r="97" spans="1:3" x14ac:dyDescent="0.45">
      <c r="A97" s="3">
        <v>45873</v>
      </c>
      <c r="B97">
        <f t="shared" si="1"/>
        <v>2</v>
      </c>
      <c r="C97" s="4">
        <v>17323</v>
      </c>
    </row>
    <row r="98" spans="1:3" x14ac:dyDescent="0.45">
      <c r="A98" s="3">
        <v>45874</v>
      </c>
      <c r="B98">
        <f t="shared" si="1"/>
        <v>3</v>
      </c>
      <c r="C98" s="4">
        <v>18603</v>
      </c>
    </row>
    <row r="99" spans="1:3" x14ac:dyDescent="0.45">
      <c r="A99" s="3">
        <v>45875</v>
      </c>
      <c r="B99">
        <f t="shared" si="1"/>
        <v>4</v>
      </c>
      <c r="C99" s="4">
        <v>19066</v>
      </c>
    </row>
    <row r="100" spans="1:3" x14ac:dyDescent="0.45">
      <c r="A100" s="3">
        <v>45876</v>
      </c>
      <c r="B100">
        <f t="shared" si="1"/>
        <v>5</v>
      </c>
      <c r="C100" s="4">
        <v>19270</v>
      </c>
    </row>
    <row r="101" spans="1:3" x14ac:dyDescent="0.45">
      <c r="A101" s="3">
        <v>45877</v>
      </c>
      <c r="B101">
        <f t="shared" si="1"/>
        <v>6</v>
      </c>
      <c r="C101" s="4">
        <v>20110</v>
      </c>
    </row>
    <row r="102" spans="1:3" x14ac:dyDescent="0.45">
      <c r="A102" s="3">
        <v>45878</v>
      </c>
      <c r="B102">
        <f t="shared" si="1"/>
        <v>7</v>
      </c>
      <c r="C102" s="4">
        <v>20712</v>
      </c>
    </row>
    <row r="103" spans="1:3" x14ac:dyDescent="0.45">
      <c r="A103" s="3">
        <v>45879</v>
      </c>
      <c r="B103">
        <f t="shared" si="1"/>
        <v>1</v>
      </c>
      <c r="C103" s="4">
        <v>19290</v>
      </c>
    </row>
    <row r="104" spans="1:3" x14ac:dyDescent="0.45">
      <c r="A104" s="3">
        <v>45880</v>
      </c>
      <c r="B104">
        <f t="shared" si="1"/>
        <v>2</v>
      </c>
      <c r="C104" s="4">
        <v>17119</v>
      </c>
    </row>
    <row r="105" spans="1:3" x14ac:dyDescent="0.45">
      <c r="A105" s="3">
        <v>45881</v>
      </c>
      <c r="B105">
        <f t="shared" si="1"/>
        <v>3</v>
      </c>
      <c r="C105" s="4">
        <v>17248</v>
      </c>
    </row>
    <row r="106" spans="1:3" x14ac:dyDescent="0.45">
      <c r="A106" s="3">
        <v>45882</v>
      </c>
      <c r="B106">
        <f t="shared" si="1"/>
        <v>4</v>
      </c>
      <c r="C106" s="4">
        <v>18207</v>
      </c>
    </row>
    <row r="107" spans="1:3" x14ac:dyDescent="0.45">
      <c r="A107" s="3">
        <v>45883</v>
      </c>
      <c r="B107">
        <f t="shared" si="1"/>
        <v>5</v>
      </c>
      <c r="C107" s="4">
        <v>19606</v>
      </c>
    </row>
    <row r="108" spans="1:3" x14ac:dyDescent="0.45">
      <c r="A108" s="3">
        <v>45884</v>
      </c>
      <c r="B108">
        <f t="shared" si="1"/>
        <v>6</v>
      </c>
      <c r="C108" s="4">
        <v>20134</v>
      </c>
    </row>
    <row r="109" spans="1:3" x14ac:dyDescent="0.45">
      <c r="A109" s="3">
        <v>45885</v>
      </c>
      <c r="B109">
        <f t="shared" si="1"/>
        <v>7</v>
      </c>
      <c r="C109" s="4">
        <v>21866</v>
      </c>
    </row>
    <row r="110" spans="1:3" x14ac:dyDescent="0.45">
      <c r="A110" s="3">
        <v>45886</v>
      </c>
      <c r="B110">
        <f t="shared" si="1"/>
        <v>1</v>
      </c>
      <c r="C110" s="4">
        <v>19210</v>
      </c>
    </row>
    <row r="111" spans="1:3" x14ac:dyDescent="0.45">
      <c r="A111" s="3">
        <v>45887</v>
      </c>
      <c r="B111">
        <f t="shared" si="1"/>
        <v>2</v>
      </c>
      <c r="C111" s="4">
        <v>16838</v>
      </c>
    </row>
    <row r="112" spans="1:3" x14ac:dyDescent="0.45">
      <c r="A112" s="3">
        <v>45888</v>
      </c>
      <c r="B112">
        <f t="shared" si="1"/>
        <v>3</v>
      </c>
      <c r="C112" s="4">
        <v>17418</v>
      </c>
    </row>
    <row r="113" spans="1:3" x14ac:dyDescent="0.45">
      <c r="A113" s="3">
        <v>45889</v>
      </c>
      <c r="B113">
        <f t="shared" si="1"/>
        <v>4</v>
      </c>
      <c r="C113" s="4">
        <v>18006</v>
      </c>
    </row>
    <row r="114" spans="1:3" x14ac:dyDescent="0.45">
      <c r="A114" s="3">
        <v>45890</v>
      </c>
      <c r="B114">
        <f t="shared" si="1"/>
        <v>5</v>
      </c>
      <c r="C114" s="4">
        <v>18185</v>
      </c>
    </row>
    <row r="115" spans="1:3" x14ac:dyDescent="0.45">
      <c r="A115" s="3">
        <v>45891</v>
      </c>
      <c r="B115">
        <f t="shared" si="1"/>
        <v>6</v>
      </c>
      <c r="C115" s="4">
        <v>18713</v>
      </c>
    </row>
    <row r="116" spans="1:3" x14ac:dyDescent="0.45">
      <c r="A116" s="3">
        <v>45892</v>
      </c>
      <c r="B116">
        <f t="shared" si="1"/>
        <v>7</v>
      </c>
      <c r="C116" s="4">
        <v>21206</v>
      </c>
    </row>
    <row r="117" spans="1:3" x14ac:dyDescent="0.45">
      <c r="A117" s="3">
        <v>45893</v>
      </c>
      <c r="B117">
        <f t="shared" si="1"/>
        <v>1</v>
      </c>
      <c r="C117" s="4">
        <v>19491</v>
      </c>
    </row>
    <row r="118" spans="1:3" x14ac:dyDescent="0.45">
      <c r="A118" s="3">
        <v>45894</v>
      </c>
      <c r="B118">
        <f t="shared" si="1"/>
        <v>2</v>
      </c>
      <c r="C118" s="4">
        <v>16809</v>
      </c>
    </row>
    <row r="119" spans="1:3" x14ac:dyDescent="0.45">
      <c r="A119" s="3">
        <v>45895</v>
      </c>
      <c r="B119">
        <f t="shared" si="1"/>
        <v>3</v>
      </c>
      <c r="C119" s="4">
        <v>18323</v>
      </c>
    </row>
    <row r="120" spans="1:3" x14ac:dyDescent="0.45">
      <c r="A120" s="3">
        <v>45896</v>
      </c>
      <c r="B120">
        <f t="shared" si="1"/>
        <v>4</v>
      </c>
      <c r="C120" s="4">
        <v>19136</v>
      </c>
    </row>
    <row r="121" spans="1:3" x14ac:dyDescent="0.45">
      <c r="A121" s="3">
        <v>45897</v>
      </c>
      <c r="B121">
        <f t="shared" si="1"/>
        <v>5</v>
      </c>
      <c r="C121" s="4">
        <v>18221</v>
      </c>
    </row>
    <row r="122" spans="1:3" x14ac:dyDescent="0.45">
      <c r="A122" s="3">
        <v>45898</v>
      </c>
      <c r="B122">
        <f t="shared" si="1"/>
        <v>6</v>
      </c>
      <c r="C122" s="4">
        <v>19664</v>
      </c>
    </row>
    <row r="123" spans="1:3" x14ac:dyDescent="0.45">
      <c r="A123" s="3">
        <v>45899</v>
      </c>
      <c r="B123">
        <f t="shared" si="1"/>
        <v>7</v>
      </c>
      <c r="C123" s="4">
        <v>21360</v>
      </c>
    </row>
    <row r="124" spans="1:3" x14ac:dyDescent="0.45">
      <c r="A124" s="3">
        <v>45900</v>
      </c>
      <c r="B124">
        <f t="shared" si="1"/>
        <v>1</v>
      </c>
      <c r="C124" s="4">
        <v>19247</v>
      </c>
    </row>
    <row r="125" spans="1:3" x14ac:dyDescent="0.45">
      <c r="A125" s="3">
        <v>45901</v>
      </c>
      <c r="B125">
        <f t="shared" si="1"/>
        <v>2</v>
      </c>
      <c r="C125" s="4">
        <v>17442</v>
      </c>
    </row>
    <row r="126" spans="1:3" x14ac:dyDescent="0.45">
      <c r="A126" s="3">
        <v>45902</v>
      </c>
      <c r="B126">
        <f t="shared" si="1"/>
        <v>3</v>
      </c>
      <c r="C126" s="4">
        <v>17545</v>
      </c>
    </row>
    <row r="127" spans="1:3" x14ac:dyDescent="0.45">
      <c r="A127" s="3">
        <v>45903</v>
      </c>
      <c r="B127">
        <f t="shared" si="1"/>
        <v>4</v>
      </c>
      <c r="C127" s="4">
        <v>18361</v>
      </c>
    </row>
    <row r="128" spans="1:3" x14ac:dyDescent="0.45">
      <c r="A128" s="3">
        <v>45904</v>
      </c>
      <c r="B128">
        <f t="shared" si="1"/>
        <v>5</v>
      </c>
      <c r="C128" s="4">
        <v>19235</v>
      </c>
    </row>
    <row r="129" spans="1:3" x14ac:dyDescent="0.45">
      <c r="A129" s="3">
        <v>45905</v>
      </c>
      <c r="B129">
        <f t="shared" si="1"/>
        <v>6</v>
      </c>
      <c r="C129" s="4">
        <v>20058</v>
      </c>
    </row>
    <row r="130" spans="1:3" x14ac:dyDescent="0.45">
      <c r="A130" s="3">
        <v>45906</v>
      </c>
      <c r="B130">
        <f t="shared" ref="B130:B193" si="2">WEEKDAY(A130,1)</f>
        <v>7</v>
      </c>
      <c r="C130" s="4">
        <v>20651</v>
      </c>
    </row>
    <row r="131" spans="1:3" x14ac:dyDescent="0.45">
      <c r="A131" s="3">
        <v>45907</v>
      </c>
      <c r="B131">
        <f t="shared" si="2"/>
        <v>1</v>
      </c>
      <c r="C131" s="4">
        <v>19954</v>
      </c>
    </row>
    <row r="132" spans="1:3" x14ac:dyDescent="0.45">
      <c r="A132" s="3">
        <v>45908</v>
      </c>
      <c r="B132">
        <f t="shared" si="2"/>
        <v>2</v>
      </c>
      <c r="C132" s="4">
        <v>16991</v>
      </c>
    </row>
    <row r="133" spans="1:3" x14ac:dyDescent="0.45">
      <c r="A133" s="3">
        <v>45909</v>
      </c>
      <c r="B133">
        <f t="shared" si="2"/>
        <v>3</v>
      </c>
      <c r="C133" s="4">
        <v>18297</v>
      </c>
    </row>
    <row r="134" spans="1:3" x14ac:dyDescent="0.45">
      <c r="A134" s="3">
        <v>45910</v>
      </c>
      <c r="B134">
        <f t="shared" si="2"/>
        <v>4</v>
      </c>
      <c r="C134" s="4">
        <v>19072</v>
      </c>
    </row>
    <row r="135" spans="1:3" x14ac:dyDescent="0.45">
      <c r="A135" s="3">
        <v>45911</v>
      </c>
      <c r="B135">
        <f t="shared" si="2"/>
        <v>5</v>
      </c>
      <c r="C135" s="4">
        <v>18556</v>
      </c>
    </row>
    <row r="136" spans="1:3" x14ac:dyDescent="0.45">
      <c r="A136" s="3">
        <v>45912</v>
      </c>
      <c r="B136">
        <f t="shared" si="2"/>
        <v>6</v>
      </c>
      <c r="C136" s="4">
        <v>19971</v>
      </c>
    </row>
    <row r="137" spans="1:3" x14ac:dyDescent="0.45">
      <c r="A137" s="3">
        <v>45913</v>
      </c>
      <c r="B137">
        <f t="shared" si="2"/>
        <v>7</v>
      </c>
      <c r="C137" s="4">
        <v>21824</v>
      </c>
    </row>
    <row r="138" spans="1:3" x14ac:dyDescent="0.45">
      <c r="A138" s="3">
        <v>45914</v>
      </c>
      <c r="B138">
        <f t="shared" si="2"/>
        <v>1</v>
      </c>
      <c r="C138" s="4">
        <v>20063</v>
      </c>
    </row>
    <row r="139" spans="1:3" x14ac:dyDescent="0.45">
      <c r="A139" s="3">
        <v>45915</v>
      </c>
      <c r="B139">
        <f t="shared" si="2"/>
        <v>2</v>
      </c>
      <c r="C139" s="4">
        <v>16928</v>
      </c>
    </row>
    <row r="140" spans="1:3" x14ac:dyDescent="0.45">
      <c r="A140" s="3">
        <v>45916</v>
      </c>
      <c r="B140">
        <f t="shared" si="2"/>
        <v>3</v>
      </c>
      <c r="C140" s="4">
        <v>17605</v>
      </c>
    </row>
    <row r="141" spans="1:3" x14ac:dyDescent="0.45">
      <c r="A141" s="3">
        <v>45917</v>
      </c>
      <c r="B141">
        <f t="shared" si="2"/>
        <v>4</v>
      </c>
      <c r="C141" s="4">
        <v>17930</v>
      </c>
    </row>
    <row r="142" spans="1:3" x14ac:dyDescent="0.45">
      <c r="A142" s="3">
        <v>45918</v>
      </c>
      <c r="B142">
        <f t="shared" si="2"/>
        <v>5</v>
      </c>
      <c r="C142" s="4">
        <v>19461</v>
      </c>
    </row>
    <row r="143" spans="1:3" x14ac:dyDescent="0.45">
      <c r="A143" s="3">
        <v>45919</v>
      </c>
      <c r="B143">
        <f t="shared" si="2"/>
        <v>6</v>
      </c>
      <c r="C143" s="4">
        <v>19772</v>
      </c>
    </row>
    <row r="144" spans="1:3" x14ac:dyDescent="0.45">
      <c r="A144" s="3">
        <v>45920</v>
      </c>
      <c r="B144">
        <f t="shared" si="2"/>
        <v>7</v>
      </c>
      <c r="C144" s="4">
        <v>21928</v>
      </c>
    </row>
    <row r="145" spans="1:3" x14ac:dyDescent="0.45">
      <c r="A145" s="3">
        <v>45921</v>
      </c>
      <c r="B145">
        <f t="shared" si="2"/>
        <v>1</v>
      </c>
      <c r="C145" s="4">
        <v>19179</v>
      </c>
    </row>
    <row r="146" spans="1:3" x14ac:dyDescent="0.45">
      <c r="A146" s="3">
        <v>45922</v>
      </c>
      <c r="B146">
        <f t="shared" si="2"/>
        <v>2</v>
      </c>
      <c r="C146" s="4">
        <v>17111</v>
      </c>
    </row>
    <row r="147" spans="1:3" x14ac:dyDescent="0.45">
      <c r="A147" s="3">
        <v>45923</v>
      </c>
      <c r="B147">
        <f t="shared" si="2"/>
        <v>3</v>
      </c>
      <c r="C147" s="4">
        <v>18438</v>
      </c>
    </row>
    <row r="148" spans="1:3" x14ac:dyDescent="0.45">
      <c r="A148" s="3">
        <v>45924</v>
      </c>
      <c r="B148">
        <f t="shared" si="2"/>
        <v>4</v>
      </c>
      <c r="C148" s="4">
        <v>18237</v>
      </c>
    </row>
    <row r="149" spans="1:3" x14ac:dyDescent="0.45">
      <c r="A149" s="3">
        <v>45925</v>
      </c>
      <c r="B149">
        <f t="shared" si="2"/>
        <v>5</v>
      </c>
      <c r="C149" s="4">
        <v>18238</v>
      </c>
    </row>
    <row r="150" spans="1:3" x14ac:dyDescent="0.45">
      <c r="A150" s="3">
        <v>45926</v>
      </c>
      <c r="B150">
        <f t="shared" si="2"/>
        <v>6</v>
      </c>
      <c r="C150" s="4">
        <v>19679</v>
      </c>
    </row>
    <row r="151" spans="1:3" x14ac:dyDescent="0.45">
      <c r="A151" s="3">
        <v>45927</v>
      </c>
      <c r="B151">
        <f t="shared" si="2"/>
        <v>7</v>
      </c>
      <c r="C151" s="4">
        <v>21145</v>
      </c>
    </row>
    <row r="152" spans="1:3" x14ac:dyDescent="0.45">
      <c r="A152" s="3">
        <v>45928</v>
      </c>
      <c r="B152">
        <f t="shared" si="2"/>
        <v>1</v>
      </c>
      <c r="C152" s="4">
        <v>19663</v>
      </c>
    </row>
    <row r="153" spans="1:3" x14ac:dyDescent="0.45">
      <c r="A153" s="3">
        <v>45929</v>
      </c>
      <c r="B153">
        <f t="shared" si="2"/>
        <v>2</v>
      </c>
      <c r="C153" s="4">
        <v>17223</v>
      </c>
    </row>
    <row r="154" spans="1:3" x14ac:dyDescent="0.45">
      <c r="A154" s="3">
        <v>45930</v>
      </c>
      <c r="B154">
        <f t="shared" si="2"/>
        <v>3</v>
      </c>
      <c r="C154" s="4">
        <v>18290</v>
      </c>
    </row>
    <row r="155" spans="1:3" x14ac:dyDescent="0.45">
      <c r="A155" s="3">
        <v>45931</v>
      </c>
      <c r="B155">
        <f t="shared" si="2"/>
        <v>4</v>
      </c>
      <c r="C155" s="4">
        <v>18060</v>
      </c>
    </row>
    <row r="156" spans="1:3" x14ac:dyDescent="0.45">
      <c r="A156" s="3">
        <v>45932</v>
      </c>
      <c r="B156">
        <f t="shared" si="2"/>
        <v>5</v>
      </c>
      <c r="C156" s="4">
        <v>19231</v>
      </c>
    </row>
    <row r="157" spans="1:3" x14ac:dyDescent="0.45">
      <c r="A157" s="3">
        <v>45933</v>
      </c>
      <c r="B157">
        <f t="shared" si="2"/>
        <v>6</v>
      </c>
      <c r="C157" s="4">
        <v>20230</v>
      </c>
    </row>
    <row r="158" spans="1:3" x14ac:dyDescent="0.45">
      <c r="A158" s="3">
        <v>45934</v>
      </c>
      <c r="B158">
        <f t="shared" si="2"/>
        <v>7</v>
      </c>
      <c r="C158" s="4">
        <v>21377</v>
      </c>
    </row>
    <row r="159" spans="1:3" x14ac:dyDescent="0.45">
      <c r="A159" s="3">
        <v>45935</v>
      </c>
      <c r="B159">
        <f t="shared" si="2"/>
        <v>1</v>
      </c>
      <c r="C159" s="4">
        <v>19626</v>
      </c>
    </row>
    <row r="160" spans="1:3" x14ac:dyDescent="0.45">
      <c r="A160" s="3">
        <v>45936</v>
      </c>
      <c r="B160">
        <f t="shared" si="2"/>
        <v>2</v>
      </c>
      <c r="C160" s="4">
        <v>16952</v>
      </c>
    </row>
    <row r="161" spans="1:3" x14ac:dyDescent="0.45">
      <c r="A161" s="3">
        <v>45937</v>
      </c>
      <c r="B161">
        <f t="shared" si="2"/>
        <v>3</v>
      </c>
      <c r="C161" s="4">
        <v>18694</v>
      </c>
    </row>
    <row r="162" spans="1:3" x14ac:dyDescent="0.45">
      <c r="A162" s="3">
        <v>45938</v>
      </c>
      <c r="B162">
        <f t="shared" si="2"/>
        <v>4</v>
      </c>
      <c r="C162" s="4">
        <v>18890</v>
      </c>
    </row>
    <row r="163" spans="1:3" x14ac:dyDescent="0.45">
      <c r="A163" s="3">
        <v>45939</v>
      </c>
      <c r="B163">
        <f t="shared" si="2"/>
        <v>5</v>
      </c>
      <c r="C163" s="4">
        <v>19467</v>
      </c>
    </row>
    <row r="164" spans="1:3" x14ac:dyDescent="0.45">
      <c r="A164" s="3">
        <v>45940</v>
      </c>
      <c r="B164">
        <f t="shared" si="2"/>
        <v>6</v>
      </c>
      <c r="C164" s="4">
        <v>18760</v>
      </c>
    </row>
    <row r="165" spans="1:3" x14ac:dyDescent="0.45">
      <c r="A165" s="3">
        <v>45941</v>
      </c>
      <c r="B165">
        <f t="shared" si="2"/>
        <v>7</v>
      </c>
      <c r="C165" s="4">
        <v>20498</v>
      </c>
    </row>
    <row r="166" spans="1:3" x14ac:dyDescent="0.45">
      <c r="A166" s="3">
        <v>45942</v>
      </c>
      <c r="B166">
        <f t="shared" si="2"/>
        <v>1</v>
      </c>
      <c r="C166" s="4">
        <v>19322</v>
      </c>
    </row>
    <row r="167" spans="1:3" x14ac:dyDescent="0.45">
      <c r="A167" s="3">
        <v>45943</v>
      </c>
      <c r="B167">
        <f t="shared" si="2"/>
        <v>2</v>
      </c>
      <c r="C167" s="4">
        <v>17941</v>
      </c>
    </row>
    <row r="168" spans="1:3" x14ac:dyDescent="0.45">
      <c r="A168" s="3">
        <v>45944</v>
      </c>
      <c r="B168">
        <f t="shared" si="2"/>
        <v>3</v>
      </c>
      <c r="C168" s="4">
        <v>17377</v>
      </c>
    </row>
    <row r="169" spans="1:3" x14ac:dyDescent="0.45">
      <c r="A169" s="3">
        <v>45945</v>
      </c>
      <c r="B169">
        <f t="shared" si="2"/>
        <v>4</v>
      </c>
      <c r="C169" s="4">
        <v>17908</v>
      </c>
    </row>
    <row r="170" spans="1:3" x14ac:dyDescent="0.45">
      <c r="A170" s="3">
        <v>45946</v>
      </c>
      <c r="B170">
        <f t="shared" si="2"/>
        <v>5</v>
      </c>
      <c r="C170" s="4">
        <v>18278</v>
      </c>
    </row>
    <row r="171" spans="1:3" x14ac:dyDescent="0.45">
      <c r="A171" s="3">
        <v>45947</v>
      </c>
      <c r="B171">
        <f t="shared" si="2"/>
        <v>6</v>
      </c>
      <c r="C171" s="4">
        <v>28845</v>
      </c>
    </row>
    <row r="172" spans="1:3" x14ac:dyDescent="0.45">
      <c r="A172" s="3">
        <v>45948</v>
      </c>
      <c r="B172">
        <f t="shared" si="2"/>
        <v>7</v>
      </c>
      <c r="C172" s="4">
        <v>31899</v>
      </c>
    </row>
    <row r="173" spans="1:3" x14ac:dyDescent="0.45">
      <c r="A173" s="3">
        <v>45949</v>
      </c>
      <c r="B173">
        <f t="shared" si="2"/>
        <v>1</v>
      </c>
      <c r="C173" s="4">
        <v>30496</v>
      </c>
    </row>
    <row r="174" spans="1:3" x14ac:dyDescent="0.45">
      <c r="A174" s="3">
        <v>45950</v>
      </c>
      <c r="B174">
        <f t="shared" si="2"/>
        <v>2</v>
      </c>
      <c r="C174" s="4">
        <v>27092</v>
      </c>
    </row>
    <row r="175" spans="1:3" x14ac:dyDescent="0.45">
      <c r="A175" s="3">
        <v>45951</v>
      </c>
      <c r="B175">
        <f t="shared" si="2"/>
        <v>3</v>
      </c>
      <c r="C175" s="4">
        <v>27537</v>
      </c>
    </row>
    <row r="176" spans="1:3" x14ac:dyDescent="0.45">
      <c r="A176" s="3">
        <v>45952</v>
      </c>
      <c r="B176">
        <f t="shared" si="2"/>
        <v>4</v>
      </c>
      <c r="C176" s="4">
        <v>28821</v>
      </c>
    </row>
    <row r="177" spans="1:3" x14ac:dyDescent="0.45">
      <c r="A177" s="3">
        <v>45953</v>
      </c>
      <c r="B177">
        <f t="shared" si="2"/>
        <v>5</v>
      </c>
      <c r="C177" s="4">
        <v>29178</v>
      </c>
    </row>
    <row r="178" spans="1:3" x14ac:dyDescent="0.45">
      <c r="A178" s="3">
        <v>45954</v>
      </c>
      <c r="B178">
        <f t="shared" si="2"/>
        <v>6</v>
      </c>
      <c r="C178" s="4">
        <v>19959</v>
      </c>
    </row>
    <row r="179" spans="1:3" x14ac:dyDescent="0.45">
      <c r="A179" s="3">
        <v>45955</v>
      </c>
      <c r="B179">
        <f t="shared" si="2"/>
        <v>7</v>
      </c>
      <c r="C179" s="4">
        <v>21863</v>
      </c>
    </row>
    <row r="180" spans="1:3" x14ac:dyDescent="0.45">
      <c r="A180" s="3">
        <v>45956</v>
      </c>
      <c r="B180">
        <f t="shared" si="2"/>
        <v>1</v>
      </c>
      <c r="C180" s="4">
        <v>19594</v>
      </c>
    </row>
    <row r="181" spans="1:3" x14ac:dyDescent="0.45">
      <c r="A181" s="3">
        <v>45957</v>
      </c>
      <c r="B181">
        <f t="shared" si="2"/>
        <v>2</v>
      </c>
      <c r="C181" s="4">
        <v>17589</v>
      </c>
    </row>
    <row r="182" spans="1:3" x14ac:dyDescent="0.45">
      <c r="A182" s="3">
        <v>45958</v>
      </c>
      <c r="B182">
        <f t="shared" si="2"/>
        <v>3</v>
      </c>
      <c r="C182" s="4">
        <v>18177</v>
      </c>
    </row>
    <row r="183" spans="1:3" x14ac:dyDescent="0.45">
      <c r="A183" s="3">
        <v>45959</v>
      </c>
      <c r="B183">
        <f t="shared" si="2"/>
        <v>4</v>
      </c>
      <c r="C183" s="4">
        <v>18601</v>
      </c>
    </row>
    <row r="184" spans="1:3" x14ac:dyDescent="0.45">
      <c r="A184" s="3">
        <v>45960</v>
      </c>
      <c r="B184">
        <f t="shared" si="2"/>
        <v>5</v>
      </c>
      <c r="C184" s="4">
        <v>19724</v>
      </c>
    </row>
    <row r="185" spans="1:3" x14ac:dyDescent="0.45">
      <c r="A185" s="3">
        <v>45961</v>
      </c>
      <c r="B185">
        <f t="shared" si="2"/>
        <v>6</v>
      </c>
      <c r="C185" s="4">
        <v>20120</v>
      </c>
    </row>
    <row r="186" spans="1:3" x14ac:dyDescent="0.45">
      <c r="A186" s="3">
        <v>45962</v>
      </c>
      <c r="B186">
        <f t="shared" si="2"/>
        <v>7</v>
      </c>
      <c r="C186" s="4">
        <v>21083</v>
      </c>
    </row>
    <row r="187" spans="1:3" x14ac:dyDescent="0.45">
      <c r="A187" s="3">
        <v>45963</v>
      </c>
      <c r="B187">
        <f t="shared" si="2"/>
        <v>1</v>
      </c>
      <c r="C187" s="4">
        <v>20176</v>
      </c>
    </row>
    <row r="188" spans="1:3" x14ac:dyDescent="0.45">
      <c r="A188" s="3">
        <v>45964</v>
      </c>
      <c r="B188">
        <f t="shared" si="2"/>
        <v>2</v>
      </c>
      <c r="C188" s="4">
        <v>16924</v>
      </c>
    </row>
    <row r="189" spans="1:3" x14ac:dyDescent="0.45">
      <c r="A189" s="3">
        <v>45965</v>
      </c>
      <c r="B189">
        <f t="shared" si="2"/>
        <v>3</v>
      </c>
      <c r="C189" s="4">
        <v>17743</v>
      </c>
    </row>
    <row r="190" spans="1:3" x14ac:dyDescent="0.45">
      <c r="A190" s="3">
        <v>45966</v>
      </c>
      <c r="B190">
        <f t="shared" si="2"/>
        <v>4</v>
      </c>
      <c r="C190" s="4">
        <v>18040</v>
      </c>
    </row>
    <row r="191" spans="1:3" x14ac:dyDescent="0.45">
      <c r="A191" s="3">
        <v>45967</v>
      </c>
      <c r="B191">
        <f t="shared" si="2"/>
        <v>5</v>
      </c>
      <c r="C191" s="4">
        <v>19324</v>
      </c>
    </row>
    <row r="192" spans="1:3" x14ac:dyDescent="0.45">
      <c r="A192" s="3">
        <v>45968</v>
      </c>
      <c r="B192">
        <f t="shared" si="2"/>
        <v>6</v>
      </c>
      <c r="C192" s="4">
        <v>20079</v>
      </c>
    </row>
    <row r="193" spans="1:3" x14ac:dyDescent="0.45">
      <c r="A193" s="3">
        <v>45969</v>
      </c>
      <c r="B193">
        <f t="shared" si="2"/>
        <v>7</v>
      </c>
      <c r="C193" s="4">
        <v>21806</v>
      </c>
    </row>
    <row r="194" spans="1:3" x14ac:dyDescent="0.45">
      <c r="A194" s="3">
        <v>45970</v>
      </c>
      <c r="B194">
        <f t="shared" ref="B194:B257" si="3">WEEKDAY(A194,1)</f>
        <v>1</v>
      </c>
      <c r="C194" s="4">
        <v>20464</v>
      </c>
    </row>
    <row r="195" spans="1:3" x14ac:dyDescent="0.45">
      <c r="A195" s="3">
        <v>45971</v>
      </c>
      <c r="B195">
        <f t="shared" si="3"/>
        <v>2</v>
      </c>
      <c r="C195" s="4">
        <v>18164</v>
      </c>
    </row>
    <row r="196" spans="1:3" x14ac:dyDescent="0.45">
      <c r="A196" s="3">
        <v>45972</v>
      </c>
      <c r="B196">
        <f t="shared" si="3"/>
        <v>3</v>
      </c>
      <c r="C196" s="4">
        <v>18714</v>
      </c>
    </row>
    <row r="197" spans="1:3" x14ac:dyDescent="0.45">
      <c r="A197" s="3">
        <v>45973</v>
      </c>
      <c r="B197">
        <f t="shared" si="3"/>
        <v>4</v>
      </c>
      <c r="C197" s="4">
        <v>18146</v>
      </c>
    </row>
    <row r="198" spans="1:3" x14ac:dyDescent="0.45">
      <c r="A198" s="3">
        <v>45974</v>
      </c>
      <c r="B198">
        <f t="shared" si="3"/>
        <v>5</v>
      </c>
      <c r="C198" s="4">
        <v>18704</v>
      </c>
    </row>
    <row r="199" spans="1:3" x14ac:dyDescent="0.45">
      <c r="A199" s="3">
        <v>45975</v>
      </c>
      <c r="B199">
        <f t="shared" si="3"/>
        <v>6</v>
      </c>
      <c r="C199" s="4">
        <v>18805</v>
      </c>
    </row>
    <row r="200" spans="1:3" x14ac:dyDescent="0.45">
      <c r="A200" s="3">
        <v>45976</v>
      </c>
      <c r="B200">
        <f t="shared" si="3"/>
        <v>7</v>
      </c>
      <c r="C200" s="4">
        <v>21550</v>
      </c>
    </row>
    <row r="201" spans="1:3" x14ac:dyDescent="0.45">
      <c r="A201" s="3">
        <v>45977</v>
      </c>
      <c r="B201">
        <f t="shared" si="3"/>
        <v>1</v>
      </c>
      <c r="C201" s="4">
        <v>19915</v>
      </c>
    </row>
    <row r="202" spans="1:3" x14ac:dyDescent="0.45">
      <c r="A202" s="3">
        <v>45978</v>
      </c>
      <c r="B202">
        <f t="shared" si="3"/>
        <v>2</v>
      </c>
      <c r="C202" s="4">
        <v>17527</v>
      </c>
    </row>
    <row r="203" spans="1:3" x14ac:dyDescent="0.45">
      <c r="A203" s="3">
        <v>45979</v>
      </c>
      <c r="B203">
        <f t="shared" si="3"/>
        <v>3</v>
      </c>
      <c r="C203" s="4">
        <v>18144</v>
      </c>
    </row>
    <row r="204" spans="1:3" x14ac:dyDescent="0.45">
      <c r="A204" s="3">
        <v>45980</v>
      </c>
      <c r="B204">
        <f t="shared" si="3"/>
        <v>4</v>
      </c>
      <c r="C204" s="4">
        <v>18529</v>
      </c>
    </row>
    <row r="205" spans="1:3" x14ac:dyDescent="0.45">
      <c r="A205" s="3">
        <v>45981</v>
      </c>
      <c r="B205">
        <f t="shared" si="3"/>
        <v>5</v>
      </c>
      <c r="C205" s="4">
        <v>18933</v>
      </c>
    </row>
    <row r="206" spans="1:3" x14ac:dyDescent="0.45">
      <c r="A206" s="3">
        <v>45982</v>
      </c>
      <c r="B206">
        <f t="shared" si="3"/>
        <v>6</v>
      </c>
      <c r="C206" s="4">
        <v>20067</v>
      </c>
    </row>
    <row r="207" spans="1:3" x14ac:dyDescent="0.45">
      <c r="A207" s="3">
        <v>45983</v>
      </c>
      <c r="B207">
        <f t="shared" si="3"/>
        <v>7</v>
      </c>
      <c r="C207" s="4">
        <v>21605</v>
      </c>
    </row>
    <row r="208" spans="1:3" x14ac:dyDescent="0.45">
      <c r="A208" s="3">
        <v>45984</v>
      </c>
      <c r="B208">
        <f t="shared" si="3"/>
        <v>1</v>
      </c>
      <c r="C208" s="4">
        <v>20664</v>
      </c>
    </row>
    <row r="209" spans="1:3" x14ac:dyDescent="0.45">
      <c r="A209" s="3">
        <v>45985</v>
      </c>
      <c r="B209">
        <f t="shared" si="3"/>
        <v>2</v>
      </c>
      <c r="C209" s="4">
        <v>17571</v>
      </c>
    </row>
    <row r="210" spans="1:3" x14ac:dyDescent="0.45">
      <c r="A210" s="3">
        <v>45986</v>
      </c>
      <c r="B210">
        <f t="shared" si="3"/>
        <v>3</v>
      </c>
      <c r="C210" s="4">
        <v>18619</v>
      </c>
    </row>
    <row r="211" spans="1:3" x14ac:dyDescent="0.45">
      <c r="A211" s="3">
        <v>45987</v>
      </c>
      <c r="B211">
        <f t="shared" si="3"/>
        <v>4</v>
      </c>
      <c r="C211" s="4">
        <v>18146</v>
      </c>
    </row>
    <row r="212" spans="1:3" x14ac:dyDescent="0.45">
      <c r="A212" s="3">
        <v>45988</v>
      </c>
      <c r="B212">
        <f t="shared" si="3"/>
        <v>5</v>
      </c>
      <c r="C212" s="4">
        <v>18298</v>
      </c>
    </row>
    <row r="213" spans="1:3" x14ac:dyDescent="0.45">
      <c r="A213" s="3">
        <v>45989</v>
      </c>
      <c r="B213">
        <f t="shared" si="3"/>
        <v>6</v>
      </c>
      <c r="C213" s="4">
        <v>19396</v>
      </c>
    </row>
    <row r="214" spans="1:3" x14ac:dyDescent="0.45">
      <c r="A214" s="3">
        <v>45990</v>
      </c>
      <c r="B214">
        <f t="shared" si="3"/>
        <v>7</v>
      </c>
      <c r="C214" s="4">
        <v>21783</v>
      </c>
    </row>
    <row r="215" spans="1:3" x14ac:dyDescent="0.45">
      <c r="A215" s="3">
        <v>45991</v>
      </c>
      <c r="B215">
        <f t="shared" si="3"/>
        <v>1</v>
      </c>
      <c r="C215" s="4">
        <v>19870</v>
      </c>
    </row>
    <row r="216" spans="1:3" x14ac:dyDescent="0.45">
      <c r="A216" s="3">
        <v>45992</v>
      </c>
      <c r="B216">
        <f t="shared" si="3"/>
        <v>2</v>
      </c>
      <c r="C216" s="4">
        <v>18101</v>
      </c>
    </row>
    <row r="217" spans="1:3" x14ac:dyDescent="0.45">
      <c r="A217" s="3">
        <v>45993</v>
      </c>
      <c r="B217">
        <f t="shared" si="3"/>
        <v>3</v>
      </c>
      <c r="C217" s="4">
        <v>17453</v>
      </c>
    </row>
    <row r="218" spans="1:3" x14ac:dyDescent="0.45">
      <c r="A218" s="3">
        <v>45994</v>
      </c>
      <c r="B218">
        <f t="shared" si="3"/>
        <v>4</v>
      </c>
      <c r="C218" s="4">
        <v>19286</v>
      </c>
    </row>
    <row r="219" spans="1:3" x14ac:dyDescent="0.45">
      <c r="A219" s="3">
        <v>45995</v>
      </c>
      <c r="B219">
        <f t="shared" si="3"/>
        <v>5</v>
      </c>
      <c r="C219" s="4">
        <v>19268</v>
      </c>
    </row>
    <row r="220" spans="1:3" x14ac:dyDescent="0.45">
      <c r="A220" s="3">
        <v>45996</v>
      </c>
      <c r="B220">
        <f t="shared" si="3"/>
        <v>6</v>
      </c>
      <c r="C220" s="4">
        <v>19529</v>
      </c>
    </row>
    <row r="221" spans="1:3" x14ac:dyDescent="0.45">
      <c r="A221" s="3">
        <v>45997</v>
      </c>
      <c r="B221">
        <f t="shared" si="3"/>
        <v>7</v>
      </c>
      <c r="C221" s="4">
        <v>21803</v>
      </c>
    </row>
    <row r="222" spans="1:3" x14ac:dyDescent="0.45">
      <c r="A222" s="3">
        <v>45998</v>
      </c>
      <c r="B222">
        <f t="shared" si="3"/>
        <v>1</v>
      </c>
      <c r="C222" s="4">
        <v>20293</v>
      </c>
    </row>
    <row r="223" spans="1:3" x14ac:dyDescent="0.45">
      <c r="A223" s="3">
        <v>45999</v>
      </c>
      <c r="B223">
        <f t="shared" si="3"/>
        <v>2</v>
      </c>
      <c r="C223" s="4">
        <v>17102</v>
      </c>
    </row>
    <row r="224" spans="1:3" x14ac:dyDescent="0.45">
      <c r="A224" s="3">
        <v>46000</v>
      </c>
      <c r="B224">
        <f t="shared" si="3"/>
        <v>3</v>
      </c>
      <c r="C224" s="4">
        <v>17699</v>
      </c>
    </row>
    <row r="225" spans="1:3" x14ac:dyDescent="0.45">
      <c r="A225" s="3">
        <v>46001</v>
      </c>
      <c r="B225">
        <f t="shared" si="3"/>
        <v>4</v>
      </c>
      <c r="C225" s="4">
        <v>18228</v>
      </c>
    </row>
    <row r="226" spans="1:3" x14ac:dyDescent="0.45">
      <c r="A226" s="3">
        <v>46002</v>
      </c>
      <c r="B226">
        <f t="shared" si="3"/>
        <v>5</v>
      </c>
      <c r="C226" s="4">
        <v>19531</v>
      </c>
    </row>
    <row r="227" spans="1:3" x14ac:dyDescent="0.45">
      <c r="A227" s="3">
        <v>46003</v>
      </c>
      <c r="B227">
        <f t="shared" si="3"/>
        <v>6</v>
      </c>
      <c r="C227" s="4">
        <v>19325</v>
      </c>
    </row>
    <row r="228" spans="1:3" x14ac:dyDescent="0.45">
      <c r="A228" s="3">
        <v>46004</v>
      </c>
      <c r="B228">
        <f t="shared" si="3"/>
        <v>7</v>
      </c>
      <c r="C228" s="4">
        <v>20864</v>
      </c>
    </row>
    <row r="229" spans="1:3" x14ac:dyDescent="0.45">
      <c r="A229" s="3">
        <v>46005</v>
      </c>
      <c r="B229">
        <f t="shared" si="3"/>
        <v>1</v>
      </c>
      <c r="C229" s="4">
        <v>20689</v>
      </c>
    </row>
    <row r="230" spans="1:3" x14ac:dyDescent="0.45">
      <c r="A230" s="3">
        <v>46006</v>
      </c>
      <c r="B230">
        <f t="shared" si="3"/>
        <v>2</v>
      </c>
      <c r="C230" s="4">
        <v>17926</v>
      </c>
    </row>
    <row r="231" spans="1:3" x14ac:dyDescent="0.45">
      <c r="A231" s="3">
        <v>46007</v>
      </c>
      <c r="B231">
        <f t="shared" si="3"/>
        <v>3</v>
      </c>
      <c r="C231" s="4">
        <v>18223</v>
      </c>
    </row>
    <row r="232" spans="1:3" x14ac:dyDescent="0.45">
      <c r="A232" s="3">
        <v>46008</v>
      </c>
      <c r="B232">
        <f t="shared" si="3"/>
        <v>4</v>
      </c>
      <c r="C232" s="4">
        <v>18947</v>
      </c>
    </row>
    <row r="233" spans="1:3" x14ac:dyDescent="0.45">
      <c r="A233" s="3">
        <v>46009</v>
      </c>
      <c r="B233">
        <f t="shared" si="3"/>
        <v>5</v>
      </c>
      <c r="C233" s="4">
        <v>19127</v>
      </c>
    </row>
    <row r="234" spans="1:3" x14ac:dyDescent="0.45">
      <c r="A234" s="3">
        <v>46010</v>
      </c>
      <c r="B234">
        <f t="shared" si="3"/>
        <v>6</v>
      </c>
      <c r="C234" s="4">
        <v>19590</v>
      </c>
    </row>
    <row r="235" spans="1:3" x14ac:dyDescent="0.45">
      <c r="A235" s="3">
        <v>46011</v>
      </c>
      <c r="B235">
        <f t="shared" si="3"/>
        <v>7</v>
      </c>
      <c r="C235" s="4">
        <v>21061</v>
      </c>
    </row>
    <row r="236" spans="1:3" x14ac:dyDescent="0.45">
      <c r="A236" s="3">
        <v>46012</v>
      </c>
      <c r="B236">
        <f t="shared" si="3"/>
        <v>1</v>
      </c>
      <c r="C236" s="4">
        <v>20623</v>
      </c>
    </row>
    <row r="237" spans="1:3" x14ac:dyDescent="0.45">
      <c r="A237" s="3">
        <v>46013</v>
      </c>
      <c r="B237">
        <f t="shared" si="3"/>
        <v>2</v>
      </c>
      <c r="C237" s="4">
        <v>18250</v>
      </c>
    </row>
    <row r="238" spans="1:3" x14ac:dyDescent="0.45">
      <c r="A238" s="3">
        <v>46014</v>
      </c>
      <c r="B238">
        <f t="shared" si="3"/>
        <v>3</v>
      </c>
      <c r="C238" s="4">
        <v>18797</v>
      </c>
    </row>
    <row r="239" spans="1:3" x14ac:dyDescent="0.45">
      <c r="A239" s="3">
        <v>46015</v>
      </c>
      <c r="B239">
        <f t="shared" si="3"/>
        <v>4</v>
      </c>
      <c r="C239" s="4">
        <v>19433</v>
      </c>
    </row>
    <row r="240" spans="1:3" x14ac:dyDescent="0.45">
      <c r="A240" s="3">
        <v>46016</v>
      </c>
      <c r="B240">
        <f t="shared" si="3"/>
        <v>5</v>
      </c>
      <c r="C240" s="4">
        <v>19484</v>
      </c>
    </row>
    <row r="241" spans="1:3" x14ac:dyDescent="0.45">
      <c r="A241" s="3">
        <v>46017</v>
      </c>
      <c r="B241">
        <f t="shared" si="3"/>
        <v>6</v>
      </c>
      <c r="C241" s="4">
        <v>19256</v>
      </c>
    </row>
    <row r="242" spans="1:3" x14ac:dyDescent="0.45">
      <c r="A242" s="3">
        <v>46018</v>
      </c>
      <c r="B242">
        <f t="shared" si="3"/>
        <v>7</v>
      </c>
      <c r="C242" s="4">
        <v>22078</v>
      </c>
    </row>
    <row r="243" spans="1:3" x14ac:dyDescent="0.45">
      <c r="A243" s="3">
        <v>46019</v>
      </c>
      <c r="B243">
        <f t="shared" si="3"/>
        <v>1</v>
      </c>
      <c r="C243" s="4">
        <v>19857</v>
      </c>
    </row>
    <row r="244" spans="1:3" x14ac:dyDescent="0.45">
      <c r="A244" s="3">
        <v>46020</v>
      </c>
      <c r="B244">
        <f t="shared" si="3"/>
        <v>2</v>
      </c>
      <c r="C244" s="4">
        <v>18197</v>
      </c>
    </row>
    <row r="245" spans="1:3" x14ac:dyDescent="0.45">
      <c r="A245" s="3">
        <v>46021</v>
      </c>
      <c r="B245">
        <f t="shared" si="3"/>
        <v>3</v>
      </c>
      <c r="C245" s="4">
        <v>18644</v>
      </c>
    </row>
    <row r="246" spans="1:3" x14ac:dyDescent="0.45">
      <c r="A246" s="3">
        <v>46022</v>
      </c>
      <c r="B246">
        <f t="shared" si="3"/>
        <v>4</v>
      </c>
      <c r="C246" s="4">
        <v>18490</v>
      </c>
    </row>
    <row r="247" spans="1:3" x14ac:dyDescent="0.45">
      <c r="A247" s="3">
        <v>46023</v>
      </c>
      <c r="B247">
        <f t="shared" si="3"/>
        <v>5</v>
      </c>
      <c r="C247" s="4">
        <v>19793</v>
      </c>
    </row>
    <row r="248" spans="1:3" x14ac:dyDescent="0.45">
      <c r="A248" s="3">
        <v>46024</v>
      </c>
      <c r="B248">
        <f t="shared" si="3"/>
        <v>6</v>
      </c>
      <c r="C248" s="4">
        <v>19404</v>
      </c>
    </row>
    <row r="249" spans="1:3" x14ac:dyDescent="0.45">
      <c r="A249" s="3">
        <v>46025</v>
      </c>
      <c r="B249">
        <f t="shared" si="3"/>
        <v>7</v>
      </c>
      <c r="C249" s="4">
        <v>21700</v>
      </c>
    </row>
    <row r="250" spans="1:3" x14ac:dyDescent="0.45">
      <c r="A250" s="3">
        <v>46026</v>
      </c>
      <c r="B250">
        <f t="shared" si="3"/>
        <v>1</v>
      </c>
      <c r="C250" s="4">
        <v>20073</v>
      </c>
    </row>
    <row r="251" spans="1:3" x14ac:dyDescent="0.45">
      <c r="A251" s="3">
        <v>46027</v>
      </c>
      <c r="B251">
        <f t="shared" si="3"/>
        <v>2</v>
      </c>
      <c r="C251" s="4">
        <v>17299</v>
      </c>
    </row>
    <row r="252" spans="1:3" x14ac:dyDescent="0.45">
      <c r="A252" s="3">
        <v>46028</v>
      </c>
      <c r="B252">
        <f t="shared" si="3"/>
        <v>3</v>
      </c>
      <c r="C252" s="4">
        <v>18817</v>
      </c>
    </row>
    <row r="253" spans="1:3" x14ac:dyDescent="0.45">
      <c r="A253" s="3">
        <v>46029</v>
      </c>
      <c r="B253">
        <f t="shared" si="3"/>
        <v>4</v>
      </c>
      <c r="C253" s="4">
        <v>19046</v>
      </c>
    </row>
    <row r="254" spans="1:3" x14ac:dyDescent="0.45">
      <c r="A254" s="3">
        <v>46030</v>
      </c>
      <c r="B254">
        <f t="shared" si="3"/>
        <v>5</v>
      </c>
      <c r="C254" s="4">
        <v>18489</v>
      </c>
    </row>
    <row r="255" spans="1:3" x14ac:dyDescent="0.45">
      <c r="A255" s="3">
        <v>46031</v>
      </c>
      <c r="B255">
        <f t="shared" si="3"/>
        <v>6</v>
      </c>
      <c r="C255" s="4">
        <v>19539</v>
      </c>
    </row>
    <row r="256" spans="1:3" x14ac:dyDescent="0.45">
      <c r="A256" s="3">
        <v>46032</v>
      </c>
      <c r="B256">
        <f t="shared" si="3"/>
        <v>7</v>
      </c>
      <c r="C256" s="4">
        <v>20637</v>
      </c>
    </row>
    <row r="257" spans="1:3" x14ac:dyDescent="0.45">
      <c r="A257" s="3">
        <v>46033</v>
      </c>
      <c r="B257">
        <f t="shared" si="3"/>
        <v>1</v>
      </c>
      <c r="C257" s="4">
        <v>19653</v>
      </c>
    </row>
    <row r="258" spans="1:3" x14ac:dyDescent="0.45">
      <c r="A258" s="3">
        <v>46034</v>
      </c>
      <c r="B258">
        <f t="shared" ref="B258:B321" si="4">WEEKDAY(A258,1)</f>
        <v>2</v>
      </c>
      <c r="C258" s="4">
        <v>17123</v>
      </c>
    </row>
    <row r="259" spans="1:3" x14ac:dyDescent="0.45">
      <c r="A259" s="3">
        <v>46035</v>
      </c>
      <c r="B259">
        <f t="shared" si="4"/>
        <v>3</v>
      </c>
      <c r="C259" s="4">
        <v>18757</v>
      </c>
    </row>
    <row r="260" spans="1:3" x14ac:dyDescent="0.45">
      <c r="A260" s="3">
        <v>46036</v>
      </c>
      <c r="B260">
        <f t="shared" si="4"/>
        <v>4</v>
      </c>
      <c r="C260" s="4">
        <v>19184</v>
      </c>
    </row>
    <row r="261" spans="1:3" x14ac:dyDescent="0.45">
      <c r="A261" s="3">
        <v>46037</v>
      </c>
      <c r="B261">
        <f t="shared" si="4"/>
        <v>5</v>
      </c>
      <c r="C261" s="4">
        <v>19445</v>
      </c>
    </row>
    <row r="262" spans="1:3" x14ac:dyDescent="0.45">
      <c r="A262" s="3">
        <v>46038</v>
      </c>
      <c r="B262">
        <f t="shared" si="4"/>
        <v>6</v>
      </c>
      <c r="C262" s="4">
        <v>19750</v>
      </c>
    </row>
    <row r="263" spans="1:3" x14ac:dyDescent="0.45">
      <c r="A263" s="3">
        <v>46039</v>
      </c>
      <c r="B263">
        <f t="shared" si="4"/>
        <v>7</v>
      </c>
      <c r="C263" s="4">
        <v>21971</v>
      </c>
    </row>
    <row r="264" spans="1:3" x14ac:dyDescent="0.45">
      <c r="A264" s="3">
        <v>46040</v>
      </c>
      <c r="B264">
        <f t="shared" si="4"/>
        <v>1</v>
      </c>
      <c r="C264" s="4">
        <v>20731</v>
      </c>
    </row>
    <row r="265" spans="1:3" x14ac:dyDescent="0.45">
      <c r="A265" s="3">
        <v>46041</v>
      </c>
      <c r="B265">
        <f t="shared" si="4"/>
        <v>2</v>
      </c>
      <c r="C265" s="4">
        <v>17042</v>
      </c>
    </row>
    <row r="266" spans="1:3" x14ac:dyDescent="0.45">
      <c r="A266" s="3">
        <v>46042</v>
      </c>
      <c r="B266">
        <f t="shared" si="4"/>
        <v>3</v>
      </c>
      <c r="C266" s="4">
        <v>18673</v>
      </c>
    </row>
    <row r="267" spans="1:3" x14ac:dyDescent="0.45">
      <c r="A267" s="3">
        <v>46043</v>
      </c>
      <c r="B267">
        <f t="shared" si="4"/>
        <v>4</v>
      </c>
      <c r="C267" s="4">
        <v>19247</v>
      </c>
    </row>
    <row r="268" spans="1:3" x14ac:dyDescent="0.45">
      <c r="A268" s="3">
        <v>46044</v>
      </c>
      <c r="B268">
        <f t="shared" si="4"/>
        <v>5</v>
      </c>
      <c r="C268" s="4">
        <v>19144</v>
      </c>
    </row>
    <row r="269" spans="1:3" x14ac:dyDescent="0.45">
      <c r="A269" s="3">
        <v>46045</v>
      </c>
      <c r="B269">
        <f t="shared" si="4"/>
        <v>6</v>
      </c>
      <c r="C269" s="4">
        <v>20144</v>
      </c>
    </row>
    <row r="270" spans="1:3" x14ac:dyDescent="0.45">
      <c r="A270" s="3">
        <v>46046</v>
      </c>
      <c r="B270">
        <f t="shared" si="4"/>
        <v>7</v>
      </c>
      <c r="C270" s="4">
        <v>21969</v>
      </c>
    </row>
    <row r="271" spans="1:3" x14ac:dyDescent="0.45">
      <c r="A271" s="3">
        <v>46047</v>
      </c>
      <c r="B271">
        <f t="shared" si="4"/>
        <v>1</v>
      </c>
      <c r="C271" s="4">
        <v>20722</v>
      </c>
    </row>
    <row r="272" spans="1:3" x14ac:dyDescent="0.45">
      <c r="A272" s="3">
        <v>46048</v>
      </c>
      <c r="B272">
        <f t="shared" si="4"/>
        <v>2</v>
      </c>
      <c r="C272" s="4">
        <v>18208</v>
      </c>
    </row>
    <row r="273" spans="1:3" x14ac:dyDescent="0.45">
      <c r="A273" s="3">
        <v>46049</v>
      </c>
      <c r="B273">
        <f t="shared" si="4"/>
        <v>3</v>
      </c>
      <c r="C273" s="4">
        <v>18616</v>
      </c>
    </row>
    <row r="274" spans="1:3" x14ac:dyDescent="0.45">
      <c r="A274" s="3">
        <v>46050</v>
      </c>
      <c r="B274">
        <f t="shared" si="4"/>
        <v>4</v>
      </c>
      <c r="C274" s="4">
        <v>19179</v>
      </c>
    </row>
    <row r="275" spans="1:3" x14ac:dyDescent="0.45">
      <c r="A275" s="3">
        <v>46051</v>
      </c>
      <c r="B275">
        <f t="shared" si="4"/>
        <v>5</v>
      </c>
      <c r="C275" s="4">
        <v>19118</v>
      </c>
    </row>
    <row r="276" spans="1:3" x14ac:dyDescent="0.45">
      <c r="A276" s="3">
        <v>46052</v>
      </c>
      <c r="B276">
        <f t="shared" si="4"/>
        <v>6</v>
      </c>
      <c r="C276" s="4">
        <v>20228</v>
      </c>
    </row>
    <row r="277" spans="1:3" x14ac:dyDescent="0.45">
      <c r="A277" s="3">
        <v>46053</v>
      </c>
      <c r="B277">
        <f t="shared" si="4"/>
        <v>7</v>
      </c>
      <c r="C277" s="4">
        <v>20943</v>
      </c>
    </row>
    <row r="278" spans="1:3" x14ac:dyDescent="0.45">
      <c r="A278" s="3">
        <v>46054</v>
      </c>
      <c r="B278">
        <f t="shared" si="4"/>
        <v>1</v>
      </c>
      <c r="C278" s="4">
        <v>19532</v>
      </c>
    </row>
    <row r="279" spans="1:3" x14ac:dyDescent="0.45">
      <c r="A279" s="3">
        <v>46055</v>
      </c>
      <c r="B279">
        <f t="shared" si="4"/>
        <v>2</v>
      </c>
      <c r="C279" s="4">
        <v>16961</v>
      </c>
    </row>
    <row r="280" spans="1:3" x14ac:dyDescent="0.45">
      <c r="A280" s="3">
        <v>46056</v>
      </c>
      <c r="B280">
        <f t="shared" si="4"/>
        <v>3</v>
      </c>
      <c r="C280" s="4">
        <v>18357</v>
      </c>
    </row>
    <row r="281" spans="1:3" x14ac:dyDescent="0.45">
      <c r="A281" s="3">
        <v>46057</v>
      </c>
      <c r="B281">
        <f t="shared" si="4"/>
        <v>4</v>
      </c>
      <c r="C281" s="4">
        <v>18510</v>
      </c>
    </row>
    <row r="282" spans="1:3" x14ac:dyDescent="0.45">
      <c r="A282" s="3">
        <v>46058</v>
      </c>
      <c r="B282">
        <f t="shared" si="4"/>
        <v>5</v>
      </c>
      <c r="C282" s="4">
        <v>19003</v>
      </c>
    </row>
    <row r="283" spans="1:3" x14ac:dyDescent="0.45">
      <c r="A283" s="3">
        <v>46059</v>
      </c>
      <c r="B283">
        <f t="shared" si="4"/>
        <v>6</v>
      </c>
      <c r="C283" s="4">
        <v>20070</v>
      </c>
    </row>
    <row r="284" spans="1:3" x14ac:dyDescent="0.45">
      <c r="A284" s="3">
        <v>46060</v>
      </c>
      <c r="B284">
        <f t="shared" si="4"/>
        <v>7</v>
      </c>
      <c r="C284" s="4">
        <v>21539</v>
      </c>
    </row>
    <row r="285" spans="1:3" x14ac:dyDescent="0.45">
      <c r="A285" s="3">
        <v>46061</v>
      </c>
      <c r="B285">
        <f t="shared" si="4"/>
        <v>1</v>
      </c>
      <c r="C285" s="4">
        <v>20322</v>
      </c>
    </row>
    <row r="286" spans="1:3" x14ac:dyDescent="0.45">
      <c r="A286" s="3">
        <v>46062</v>
      </c>
      <c r="B286">
        <f t="shared" si="4"/>
        <v>2</v>
      </c>
      <c r="C286" s="4">
        <v>17948</v>
      </c>
    </row>
    <row r="287" spans="1:3" x14ac:dyDescent="0.45">
      <c r="A287" s="3">
        <v>46063</v>
      </c>
      <c r="B287">
        <f t="shared" si="4"/>
        <v>3</v>
      </c>
      <c r="C287" s="4">
        <v>18545</v>
      </c>
    </row>
    <row r="288" spans="1:3" x14ac:dyDescent="0.45">
      <c r="A288" s="3">
        <v>46064</v>
      </c>
      <c r="B288">
        <f t="shared" si="4"/>
        <v>4</v>
      </c>
      <c r="C288" s="4">
        <v>18767</v>
      </c>
    </row>
    <row r="289" spans="1:3" x14ac:dyDescent="0.45">
      <c r="A289" s="3">
        <v>46065</v>
      </c>
      <c r="B289">
        <f t="shared" si="4"/>
        <v>5</v>
      </c>
      <c r="C289" s="4">
        <v>18491</v>
      </c>
    </row>
    <row r="290" spans="1:3" x14ac:dyDescent="0.45">
      <c r="A290" s="3">
        <v>46066</v>
      </c>
      <c r="B290">
        <f t="shared" si="4"/>
        <v>6</v>
      </c>
      <c r="C290" s="4">
        <v>20161</v>
      </c>
    </row>
    <row r="291" spans="1:3" x14ac:dyDescent="0.45">
      <c r="A291" s="3">
        <v>46067</v>
      </c>
      <c r="B291">
        <f t="shared" si="4"/>
        <v>7</v>
      </c>
      <c r="C291" s="4">
        <v>20731</v>
      </c>
    </row>
    <row r="292" spans="1:3" x14ac:dyDescent="0.45">
      <c r="A292" s="3">
        <v>46068</v>
      </c>
      <c r="B292">
        <f t="shared" si="4"/>
        <v>1</v>
      </c>
      <c r="C292" s="4">
        <v>20158</v>
      </c>
    </row>
    <row r="293" spans="1:3" x14ac:dyDescent="0.45">
      <c r="A293" s="3">
        <v>46069</v>
      </c>
      <c r="B293">
        <f t="shared" si="4"/>
        <v>2</v>
      </c>
      <c r="C293" s="4">
        <v>17048</v>
      </c>
    </row>
    <row r="294" spans="1:3" x14ac:dyDescent="0.45">
      <c r="A294" s="3">
        <v>46070</v>
      </c>
      <c r="B294">
        <f t="shared" si="4"/>
        <v>3</v>
      </c>
      <c r="C294" s="4">
        <v>18867</v>
      </c>
    </row>
    <row r="295" spans="1:3" x14ac:dyDescent="0.45">
      <c r="A295" s="3">
        <v>46071</v>
      </c>
      <c r="B295">
        <f t="shared" si="4"/>
        <v>4</v>
      </c>
      <c r="C295" s="4">
        <v>18880</v>
      </c>
    </row>
    <row r="296" spans="1:3" x14ac:dyDescent="0.45">
      <c r="A296" s="3">
        <v>46072</v>
      </c>
      <c r="B296">
        <f t="shared" si="4"/>
        <v>5</v>
      </c>
      <c r="C296" s="4">
        <v>19903</v>
      </c>
    </row>
    <row r="297" spans="1:3" x14ac:dyDescent="0.45">
      <c r="A297" s="3">
        <v>46073</v>
      </c>
      <c r="B297">
        <f t="shared" si="4"/>
        <v>6</v>
      </c>
      <c r="C297" s="4">
        <v>19788</v>
      </c>
    </row>
    <row r="298" spans="1:3" x14ac:dyDescent="0.45">
      <c r="A298" s="3">
        <v>46074</v>
      </c>
      <c r="B298">
        <f t="shared" si="4"/>
        <v>7</v>
      </c>
      <c r="C298" s="4">
        <v>21917</v>
      </c>
    </row>
    <row r="299" spans="1:3" x14ac:dyDescent="0.45">
      <c r="A299" s="3">
        <v>46075</v>
      </c>
      <c r="B299">
        <f t="shared" si="4"/>
        <v>1</v>
      </c>
      <c r="C299" s="4">
        <v>20224</v>
      </c>
    </row>
    <row r="300" spans="1:3" x14ac:dyDescent="0.45">
      <c r="A300" s="3">
        <v>46076</v>
      </c>
      <c r="B300">
        <f t="shared" si="4"/>
        <v>2</v>
      </c>
      <c r="C300" s="4">
        <v>17335</v>
      </c>
    </row>
    <row r="301" spans="1:3" x14ac:dyDescent="0.45">
      <c r="A301" s="3">
        <v>46077</v>
      </c>
      <c r="B301">
        <f t="shared" si="4"/>
        <v>3</v>
      </c>
      <c r="C301" s="4">
        <v>18149</v>
      </c>
    </row>
    <row r="302" spans="1:3" x14ac:dyDescent="0.45">
      <c r="A302" s="3">
        <v>46078</v>
      </c>
      <c r="B302">
        <f t="shared" si="4"/>
        <v>4</v>
      </c>
      <c r="C302" s="4">
        <v>19005</v>
      </c>
    </row>
    <row r="303" spans="1:3" x14ac:dyDescent="0.45">
      <c r="A303" s="3">
        <v>46079</v>
      </c>
      <c r="B303">
        <f t="shared" si="4"/>
        <v>5</v>
      </c>
      <c r="C303" s="4">
        <v>18630</v>
      </c>
    </row>
    <row r="304" spans="1:3" x14ac:dyDescent="0.45">
      <c r="A304" s="3">
        <v>46080</v>
      </c>
      <c r="B304">
        <f t="shared" si="4"/>
        <v>6</v>
      </c>
      <c r="C304" s="4">
        <v>19234</v>
      </c>
    </row>
    <row r="305" spans="1:3" x14ac:dyDescent="0.45">
      <c r="A305" s="3">
        <v>46081</v>
      </c>
      <c r="B305">
        <f t="shared" si="4"/>
        <v>7</v>
      </c>
      <c r="C305" s="4">
        <v>21528</v>
      </c>
    </row>
    <row r="306" spans="1:3" x14ac:dyDescent="0.45">
      <c r="A306" s="3">
        <v>46082</v>
      </c>
      <c r="B306">
        <f t="shared" si="4"/>
        <v>1</v>
      </c>
      <c r="C306" s="4">
        <v>20903</v>
      </c>
    </row>
    <row r="307" spans="1:3" x14ac:dyDescent="0.45">
      <c r="A307" s="3">
        <v>46083</v>
      </c>
      <c r="B307">
        <f t="shared" si="4"/>
        <v>2</v>
      </c>
      <c r="C307" s="4">
        <v>17270</v>
      </c>
    </row>
    <row r="308" spans="1:3" x14ac:dyDescent="0.45">
      <c r="A308" s="3">
        <v>46084</v>
      </c>
      <c r="B308">
        <f t="shared" si="4"/>
        <v>3</v>
      </c>
      <c r="C308" s="4">
        <v>18507</v>
      </c>
    </row>
    <row r="309" spans="1:3" x14ac:dyDescent="0.45">
      <c r="A309" s="3">
        <v>46085</v>
      </c>
      <c r="B309">
        <f t="shared" si="4"/>
        <v>4</v>
      </c>
      <c r="C309" s="4">
        <v>19502</v>
      </c>
    </row>
    <row r="310" spans="1:3" x14ac:dyDescent="0.45">
      <c r="A310" s="3">
        <v>46086</v>
      </c>
      <c r="B310">
        <f t="shared" si="4"/>
        <v>5</v>
      </c>
      <c r="C310" s="4">
        <v>18978</v>
      </c>
    </row>
    <row r="311" spans="1:3" x14ac:dyDescent="0.45">
      <c r="A311" s="3">
        <v>46087</v>
      </c>
      <c r="B311">
        <f t="shared" si="4"/>
        <v>6</v>
      </c>
      <c r="C311" s="4">
        <v>19048</v>
      </c>
    </row>
    <row r="312" spans="1:3" x14ac:dyDescent="0.45">
      <c r="A312" s="3">
        <v>46088</v>
      </c>
      <c r="B312">
        <f t="shared" si="4"/>
        <v>7</v>
      </c>
      <c r="C312" s="4">
        <v>21324</v>
      </c>
    </row>
    <row r="313" spans="1:3" x14ac:dyDescent="0.45">
      <c r="A313" s="3">
        <v>46089</v>
      </c>
      <c r="B313">
        <f t="shared" si="4"/>
        <v>1</v>
      </c>
      <c r="C313" s="4">
        <v>20907</v>
      </c>
    </row>
    <row r="314" spans="1:3" x14ac:dyDescent="0.45">
      <c r="A314" s="3">
        <v>46090</v>
      </c>
      <c r="B314">
        <f t="shared" si="4"/>
        <v>2</v>
      </c>
      <c r="C314" s="4">
        <v>17291</v>
      </c>
    </row>
    <row r="315" spans="1:3" x14ac:dyDescent="0.45">
      <c r="A315" s="3">
        <v>46091</v>
      </c>
      <c r="B315">
        <f t="shared" si="4"/>
        <v>3</v>
      </c>
      <c r="C315" s="4">
        <v>18071</v>
      </c>
    </row>
    <row r="316" spans="1:3" x14ac:dyDescent="0.45">
      <c r="A316" s="3">
        <v>46092</v>
      </c>
      <c r="B316">
        <f t="shared" si="4"/>
        <v>4</v>
      </c>
      <c r="C316" s="4">
        <v>18114</v>
      </c>
    </row>
    <row r="317" spans="1:3" x14ac:dyDescent="0.45">
      <c r="A317" s="3">
        <v>46093</v>
      </c>
      <c r="B317">
        <f t="shared" si="4"/>
        <v>5</v>
      </c>
      <c r="C317" s="4">
        <v>19351</v>
      </c>
    </row>
    <row r="318" spans="1:3" x14ac:dyDescent="0.45">
      <c r="A318" s="3">
        <v>46094</v>
      </c>
      <c r="B318">
        <f t="shared" si="4"/>
        <v>6</v>
      </c>
      <c r="C318" s="4">
        <v>19959</v>
      </c>
    </row>
    <row r="319" spans="1:3" x14ac:dyDescent="0.45">
      <c r="A319" s="3">
        <v>46095</v>
      </c>
      <c r="B319">
        <f t="shared" si="4"/>
        <v>7</v>
      </c>
      <c r="C319" s="4">
        <v>21462</v>
      </c>
    </row>
    <row r="320" spans="1:3" x14ac:dyDescent="0.45">
      <c r="A320" s="3">
        <v>46096</v>
      </c>
      <c r="B320">
        <f t="shared" si="4"/>
        <v>1</v>
      </c>
      <c r="C320" s="4">
        <v>19958</v>
      </c>
    </row>
    <row r="321" spans="1:3" x14ac:dyDescent="0.45">
      <c r="A321" s="3">
        <v>46097</v>
      </c>
      <c r="B321">
        <f t="shared" si="4"/>
        <v>2</v>
      </c>
      <c r="C321" s="4">
        <v>17578</v>
      </c>
    </row>
    <row r="322" spans="1:3" x14ac:dyDescent="0.45">
      <c r="A322" s="3">
        <v>46098</v>
      </c>
      <c r="B322">
        <f t="shared" ref="B322:B385" si="5">WEEKDAY(A322,1)</f>
        <v>3</v>
      </c>
      <c r="C322" s="4">
        <v>18580</v>
      </c>
    </row>
    <row r="323" spans="1:3" x14ac:dyDescent="0.45">
      <c r="A323" s="3">
        <v>46099</v>
      </c>
      <c r="B323">
        <f t="shared" si="5"/>
        <v>4</v>
      </c>
      <c r="C323" s="4">
        <v>18590</v>
      </c>
    </row>
    <row r="324" spans="1:3" x14ac:dyDescent="0.45">
      <c r="A324" s="3">
        <v>46100</v>
      </c>
      <c r="B324">
        <f t="shared" si="5"/>
        <v>5</v>
      </c>
      <c r="C324" s="4">
        <v>19034</v>
      </c>
    </row>
    <row r="325" spans="1:3" x14ac:dyDescent="0.45">
      <c r="A325" s="3">
        <v>46101</v>
      </c>
      <c r="B325">
        <f t="shared" si="5"/>
        <v>6</v>
      </c>
      <c r="C325" s="4">
        <v>20317</v>
      </c>
    </row>
    <row r="326" spans="1:3" x14ac:dyDescent="0.45">
      <c r="A326" s="3">
        <v>46102</v>
      </c>
      <c r="B326">
        <f t="shared" si="5"/>
        <v>7</v>
      </c>
      <c r="C326" s="4">
        <v>21952</v>
      </c>
    </row>
    <row r="327" spans="1:3" x14ac:dyDescent="0.45">
      <c r="A327" s="3">
        <v>46103</v>
      </c>
      <c r="B327">
        <f t="shared" si="5"/>
        <v>1</v>
      </c>
      <c r="C327" s="4">
        <v>19408</v>
      </c>
    </row>
    <row r="328" spans="1:3" x14ac:dyDescent="0.45">
      <c r="A328" s="3">
        <v>46104</v>
      </c>
      <c r="B328">
        <f t="shared" si="5"/>
        <v>2</v>
      </c>
      <c r="C328" s="4">
        <v>18167</v>
      </c>
    </row>
    <row r="329" spans="1:3" x14ac:dyDescent="0.45">
      <c r="A329" s="3">
        <v>46105</v>
      </c>
      <c r="B329">
        <f t="shared" si="5"/>
        <v>3</v>
      </c>
      <c r="C329" s="4">
        <v>18083</v>
      </c>
    </row>
    <row r="330" spans="1:3" x14ac:dyDescent="0.45">
      <c r="A330" s="3">
        <v>46106</v>
      </c>
      <c r="B330">
        <f t="shared" si="5"/>
        <v>4</v>
      </c>
      <c r="C330" s="4">
        <v>18331</v>
      </c>
    </row>
    <row r="331" spans="1:3" x14ac:dyDescent="0.45">
      <c r="A331" s="3">
        <v>46107</v>
      </c>
      <c r="B331">
        <f t="shared" si="5"/>
        <v>5</v>
      </c>
      <c r="C331" s="4">
        <v>18620</v>
      </c>
    </row>
    <row r="332" spans="1:3" x14ac:dyDescent="0.45">
      <c r="A332" s="3">
        <v>46108</v>
      </c>
      <c r="B332">
        <f t="shared" si="5"/>
        <v>6</v>
      </c>
      <c r="C332" s="4">
        <v>20061</v>
      </c>
    </row>
    <row r="333" spans="1:3" x14ac:dyDescent="0.45">
      <c r="A333" s="3">
        <v>46109</v>
      </c>
      <c r="B333">
        <f t="shared" si="5"/>
        <v>7</v>
      </c>
      <c r="C333" s="4">
        <v>21176</v>
      </c>
    </row>
    <row r="334" spans="1:3" x14ac:dyDescent="0.45">
      <c r="A334" s="3">
        <v>46110</v>
      </c>
      <c r="B334">
        <f t="shared" si="5"/>
        <v>1</v>
      </c>
      <c r="C334" s="4">
        <v>20483</v>
      </c>
    </row>
    <row r="335" spans="1:3" x14ac:dyDescent="0.45">
      <c r="A335" s="3">
        <v>46111</v>
      </c>
      <c r="B335">
        <f t="shared" si="5"/>
        <v>2</v>
      </c>
      <c r="C335" s="4">
        <v>17606</v>
      </c>
    </row>
    <row r="336" spans="1:3" x14ac:dyDescent="0.45">
      <c r="A336" s="3">
        <v>46112</v>
      </c>
      <c r="B336">
        <f t="shared" si="5"/>
        <v>3</v>
      </c>
      <c r="C336" s="4">
        <v>18834</v>
      </c>
    </row>
    <row r="337" spans="1:3" x14ac:dyDescent="0.45">
      <c r="A337" s="3">
        <v>46113</v>
      </c>
      <c r="B337">
        <f t="shared" si="5"/>
        <v>4</v>
      </c>
      <c r="C337" s="4">
        <v>18842</v>
      </c>
    </row>
    <row r="338" spans="1:3" x14ac:dyDescent="0.45">
      <c r="A338" s="3">
        <v>46114</v>
      </c>
      <c r="B338">
        <f t="shared" si="5"/>
        <v>5</v>
      </c>
      <c r="C338" s="4">
        <v>19624</v>
      </c>
    </row>
    <row r="339" spans="1:3" x14ac:dyDescent="0.45">
      <c r="A339" s="3">
        <v>46115</v>
      </c>
      <c r="B339">
        <f t="shared" si="5"/>
        <v>6</v>
      </c>
      <c r="C339" s="4">
        <v>19052</v>
      </c>
    </row>
    <row r="340" spans="1:3" x14ac:dyDescent="0.45">
      <c r="A340" s="3">
        <v>46116</v>
      </c>
      <c r="B340">
        <f t="shared" si="5"/>
        <v>7</v>
      </c>
      <c r="C340" s="4">
        <v>20942</v>
      </c>
    </row>
    <row r="341" spans="1:3" x14ac:dyDescent="0.45">
      <c r="A341" s="3">
        <v>46117</v>
      </c>
      <c r="B341">
        <f t="shared" si="5"/>
        <v>1</v>
      </c>
      <c r="C341" s="4">
        <v>19534</v>
      </c>
    </row>
    <row r="342" spans="1:3" x14ac:dyDescent="0.45">
      <c r="A342" s="3">
        <v>46118</v>
      </c>
      <c r="B342">
        <f t="shared" si="5"/>
        <v>2</v>
      </c>
      <c r="C342" s="4">
        <v>17073</v>
      </c>
    </row>
    <row r="343" spans="1:3" x14ac:dyDescent="0.45">
      <c r="A343" s="3">
        <v>46119</v>
      </c>
      <c r="B343">
        <f t="shared" si="5"/>
        <v>3</v>
      </c>
      <c r="C343" s="4">
        <v>18631</v>
      </c>
    </row>
    <row r="344" spans="1:3" x14ac:dyDescent="0.45">
      <c r="A344" s="3">
        <v>46120</v>
      </c>
      <c r="B344">
        <f t="shared" si="5"/>
        <v>4</v>
      </c>
      <c r="C344" s="4">
        <v>18832</v>
      </c>
    </row>
    <row r="345" spans="1:3" x14ac:dyDescent="0.45">
      <c r="A345" s="3">
        <v>46121</v>
      </c>
      <c r="B345">
        <f t="shared" si="5"/>
        <v>5</v>
      </c>
      <c r="C345" s="4">
        <v>19272</v>
      </c>
    </row>
    <row r="346" spans="1:3" x14ac:dyDescent="0.45">
      <c r="A346" s="3">
        <v>46122</v>
      </c>
      <c r="B346">
        <f t="shared" si="5"/>
        <v>6</v>
      </c>
      <c r="C346" s="4">
        <v>19376</v>
      </c>
    </row>
    <row r="347" spans="1:3" x14ac:dyDescent="0.45">
      <c r="A347" s="3">
        <v>46123</v>
      </c>
      <c r="B347">
        <f t="shared" si="5"/>
        <v>7</v>
      </c>
      <c r="C347" s="4">
        <v>21822</v>
      </c>
    </row>
    <row r="348" spans="1:3" x14ac:dyDescent="0.45">
      <c r="A348" s="3">
        <v>46124</v>
      </c>
      <c r="B348">
        <f t="shared" si="5"/>
        <v>1</v>
      </c>
      <c r="C348" s="4">
        <v>20987</v>
      </c>
    </row>
    <row r="349" spans="1:3" x14ac:dyDescent="0.45">
      <c r="A349" s="3">
        <v>46125</v>
      </c>
      <c r="B349">
        <f t="shared" si="5"/>
        <v>2</v>
      </c>
      <c r="C349" s="4">
        <v>18012</v>
      </c>
    </row>
    <row r="350" spans="1:3" x14ac:dyDescent="0.45">
      <c r="A350" s="3">
        <v>46126</v>
      </c>
      <c r="B350">
        <f t="shared" si="5"/>
        <v>3</v>
      </c>
      <c r="C350" s="4">
        <v>17775</v>
      </c>
    </row>
    <row r="351" spans="1:3" x14ac:dyDescent="0.45">
      <c r="A351" s="3">
        <v>46127</v>
      </c>
      <c r="B351">
        <f t="shared" si="5"/>
        <v>4</v>
      </c>
      <c r="C351" s="4">
        <v>18867</v>
      </c>
    </row>
    <row r="352" spans="1:3" x14ac:dyDescent="0.45">
      <c r="A352" s="3">
        <v>46128</v>
      </c>
      <c r="B352">
        <f t="shared" si="5"/>
        <v>5</v>
      </c>
      <c r="C352" s="4">
        <v>18505</v>
      </c>
    </row>
    <row r="353" spans="1:3" x14ac:dyDescent="0.45">
      <c r="A353" s="3">
        <v>46129</v>
      </c>
      <c r="B353">
        <f t="shared" si="5"/>
        <v>6</v>
      </c>
      <c r="C353" s="4">
        <v>20161</v>
      </c>
    </row>
    <row r="354" spans="1:3" x14ac:dyDescent="0.45">
      <c r="A354" s="3">
        <v>46130</v>
      </c>
      <c r="B354">
        <f t="shared" si="5"/>
        <v>7</v>
      </c>
      <c r="C354" s="4">
        <v>21972</v>
      </c>
    </row>
    <row r="355" spans="1:3" x14ac:dyDescent="0.45">
      <c r="A355" s="3">
        <v>46131</v>
      </c>
      <c r="B355">
        <f t="shared" si="5"/>
        <v>1</v>
      </c>
      <c r="C355" s="4">
        <v>20532</v>
      </c>
    </row>
    <row r="356" spans="1:3" x14ac:dyDescent="0.45">
      <c r="A356" s="3">
        <v>46132</v>
      </c>
      <c r="B356">
        <f t="shared" si="5"/>
        <v>2</v>
      </c>
      <c r="C356" s="4">
        <v>17730</v>
      </c>
    </row>
    <row r="357" spans="1:3" x14ac:dyDescent="0.45">
      <c r="A357" s="3">
        <v>46133</v>
      </c>
      <c r="B357">
        <f t="shared" si="5"/>
        <v>3</v>
      </c>
      <c r="C357" s="4">
        <v>18796</v>
      </c>
    </row>
    <row r="358" spans="1:3" x14ac:dyDescent="0.45">
      <c r="A358" s="3">
        <v>46134</v>
      </c>
      <c r="B358">
        <f t="shared" si="5"/>
        <v>4</v>
      </c>
      <c r="C358" s="4">
        <v>19621</v>
      </c>
    </row>
    <row r="359" spans="1:3" x14ac:dyDescent="0.45">
      <c r="A359" s="3">
        <v>46135</v>
      </c>
      <c r="B359">
        <f t="shared" si="5"/>
        <v>5</v>
      </c>
      <c r="C359" s="4">
        <v>19035</v>
      </c>
    </row>
    <row r="360" spans="1:3" x14ac:dyDescent="0.45">
      <c r="A360" s="3">
        <v>46136</v>
      </c>
      <c r="B360">
        <f t="shared" si="5"/>
        <v>6</v>
      </c>
      <c r="C360" s="4">
        <v>19319</v>
      </c>
    </row>
    <row r="361" spans="1:3" x14ac:dyDescent="0.45">
      <c r="A361" s="3">
        <v>46137</v>
      </c>
      <c r="B361">
        <f t="shared" si="5"/>
        <v>7</v>
      </c>
      <c r="C361" s="4">
        <v>21367</v>
      </c>
    </row>
    <row r="362" spans="1:3" x14ac:dyDescent="0.45">
      <c r="A362" s="3">
        <v>46138</v>
      </c>
      <c r="B362">
        <f t="shared" si="5"/>
        <v>1</v>
      </c>
      <c r="C362" s="4">
        <v>19992</v>
      </c>
    </row>
    <row r="363" spans="1:3" x14ac:dyDescent="0.45">
      <c r="A363" s="3">
        <v>46139</v>
      </c>
      <c r="B363">
        <f t="shared" si="5"/>
        <v>2</v>
      </c>
      <c r="C363" s="4">
        <v>17240</v>
      </c>
    </row>
    <row r="364" spans="1:3" x14ac:dyDescent="0.45">
      <c r="A364" s="3">
        <v>46140</v>
      </c>
      <c r="B364">
        <f t="shared" si="5"/>
        <v>3</v>
      </c>
      <c r="C364" s="4">
        <v>18097</v>
      </c>
    </row>
    <row r="365" spans="1:3" x14ac:dyDescent="0.45">
      <c r="A365" s="3">
        <v>46141</v>
      </c>
      <c r="B365">
        <f t="shared" si="5"/>
        <v>4</v>
      </c>
      <c r="C365" s="4">
        <v>18436</v>
      </c>
    </row>
    <row r="366" spans="1:3" x14ac:dyDescent="0.45">
      <c r="A366" s="3">
        <v>46142</v>
      </c>
      <c r="B366">
        <f t="shared" si="5"/>
        <v>5</v>
      </c>
      <c r="C366" s="4">
        <v>19007</v>
      </c>
    </row>
    <row r="367" spans="1:3" x14ac:dyDescent="0.45">
      <c r="A367" s="3">
        <v>46143</v>
      </c>
      <c r="B367">
        <f t="shared" si="5"/>
        <v>6</v>
      </c>
      <c r="C367" s="4">
        <v>19750</v>
      </c>
    </row>
    <row r="368" spans="1:3" x14ac:dyDescent="0.45">
      <c r="A368" s="3">
        <v>46144</v>
      </c>
      <c r="B368">
        <f t="shared" si="5"/>
        <v>7</v>
      </c>
      <c r="C368" s="4">
        <v>20960</v>
      </c>
    </row>
    <row r="369" spans="1:3" x14ac:dyDescent="0.45">
      <c r="A369" s="3">
        <v>46145</v>
      </c>
      <c r="B369">
        <f t="shared" si="5"/>
        <v>1</v>
      </c>
      <c r="C369" s="4">
        <v>19757</v>
      </c>
    </row>
    <row r="370" spans="1:3" x14ac:dyDescent="0.45">
      <c r="A370" s="3">
        <v>46146</v>
      </c>
      <c r="B370">
        <f t="shared" si="5"/>
        <v>2</v>
      </c>
      <c r="C370" s="4">
        <v>18070</v>
      </c>
    </row>
    <row r="371" spans="1:3" x14ac:dyDescent="0.45">
      <c r="A371" s="3">
        <v>46147</v>
      </c>
      <c r="B371">
        <f t="shared" si="5"/>
        <v>3</v>
      </c>
      <c r="C371" s="4">
        <v>17794</v>
      </c>
    </row>
    <row r="372" spans="1:3" x14ac:dyDescent="0.45">
      <c r="A372" s="3">
        <v>46148</v>
      </c>
      <c r="B372">
        <f t="shared" si="5"/>
        <v>4</v>
      </c>
      <c r="C372" s="4">
        <v>18691</v>
      </c>
    </row>
    <row r="373" spans="1:3" x14ac:dyDescent="0.45">
      <c r="A373" s="3">
        <v>46149</v>
      </c>
      <c r="B373">
        <f t="shared" si="5"/>
        <v>5</v>
      </c>
      <c r="C373" s="4">
        <v>19833</v>
      </c>
    </row>
    <row r="374" spans="1:3" x14ac:dyDescent="0.45">
      <c r="A374" s="3">
        <v>46150</v>
      </c>
      <c r="B374">
        <f t="shared" si="5"/>
        <v>6</v>
      </c>
      <c r="C374" s="4">
        <v>19982</v>
      </c>
    </row>
    <row r="375" spans="1:3" x14ac:dyDescent="0.45">
      <c r="A375" s="3">
        <v>46151</v>
      </c>
      <c r="B375">
        <f t="shared" si="5"/>
        <v>7</v>
      </c>
      <c r="C375" s="4">
        <v>21701</v>
      </c>
    </row>
    <row r="376" spans="1:3" x14ac:dyDescent="0.45">
      <c r="A376" s="3">
        <v>46152</v>
      </c>
      <c r="B376">
        <f t="shared" si="5"/>
        <v>1</v>
      </c>
      <c r="C376" s="4">
        <v>21001</v>
      </c>
    </row>
    <row r="377" spans="1:3" x14ac:dyDescent="0.45">
      <c r="A377" s="3">
        <v>46153</v>
      </c>
      <c r="B377">
        <f t="shared" si="5"/>
        <v>2</v>
      </c>
      <c r="C377" s="4">
        <v>18065</v>
      </c>
    </row>
    <row r="378" spans="1:3" x14ac:dyDescent="0.45">
      <c r="A378" s="3">
        <v>46154</v>
      </c>
      <c r="B378">
        <f t="shared" si="5"/>
        <v>3</v>
      </c>
      <c r="C378" s="4">
        <v>18253</v>
      </c>
    </row>
    <row r="379" spans="1:3" x14ac:dyDescent="0.45">
      <c r="A379" s="3">
        <v>46155</v>
      </c>
      <c r="B379">
        <f t="shared" si="5"/>
        <v>4</v>
      </c>
      <c r="C379" s="4">
        <v>19661</v>
      </c>
    </row>
    <row r="380" spans="1:3" x14ac:dyDescent="0.45">
      <c r="A380" s="3">
        <v>46156</v>
      </c>
      <c r="B380">
        <f t="shared" si="5"/>
        <v>5</v>
      </c>
      <c r="C380" s="4">
        <v>19087</v>
      </c>
    </row>
    <row r="381" spans="1:3" x14ac:dyDescent="0.45">
      <c r="A381" s="3">
        <v>46157</v>
      </c>
      <c r="B381">
        <f t="shared" si="5"/>
        <v>6</v>
      </c>
      <c r="C381" s="4">
        <v>19906</v>
      </c>
    </row>
    <row r="382" spans="1:3" x14ac:dyDescent="0.45">
      <c r="A382" s="3">
        <v>46158</v>
      </c>
      <c r="B382">
        <f t="shared" si="5"/>
        <v>7</v>
      </c>
      <c r="C382" s="4">
        <v>21898</v>
      </c>
    </row>
    <row r="383" spans="1:3" x14ac:dyDescent="0.45">
      <c r="A383" s="3">
        <v>46159</v>
      </c>
      <c r="B383">
        <f t="shared" si="5"/>
        <v>1</v>
      </c>
      <c r="C383" s="4">
        <v>19520</v>
      </c>
    </row>
    <row r="384" spans="1:3" x14ac:dyDescent="0.45">
      <c r="A384" s="3">
        <v>46160</v>
      </c>
      <c r="B384">
        <f t="shared" si="5"/>
        <v>2</v>
      </c>
      <c r="C384" s="4">
        <v>18156</v>
      </c>
    </row>
    <row r="385" spans="1:3" x14ac:dyDescent="0.45">
      <c r="A385" s="3">
        <v>46161</v>
      </c>
      <c r="B385">
        <f t="shared" si="5"/>
        <v>3</v>
      </c>
      <c r="C385" s="4">
        <v>18623</v>
      </c>
    </row>
    <row r="386" spans="1:3" x14ac:dyDescent="0.45">
      <c r="A386" s="3">
        <v>46162</v>
      </c>
      <c r="B386">
        <f t="shared" ref="B386:B449" si="6">WEEKDAY(A386,1)</f>
        <v>4</v>
      </c>
      <c r="C386" s="4">
        <v>18642</v>
      </c>
    </row>
    <row r="387" spans="1:3" x14ac:dyDescent="0.45">
      <c r="A387" s="3">
        <v>46163</v>
      </c>
      <c r="B387">
        <f t="shared" si="6"/>
        <v>5</v>
      </c>
      <c r="C387" s="4">
        <v>19600</v>
      </c>
    </row>
    <row r="388" spans="1:3" x14ac:dyDescent="0.45">
      <c r="A388" s="3">
        <v>46164</v>
      </c>
      <c r="B388">
        <f t="shared" si="6"/>
        <v>6</v>
      </c>
      <c r="C388" s="4">
        <v>19502</v>
      </c>
    </row>
    <row r="389" spans="1:3" x14ac:dyDescent="0.45">
      <c r="A389" s="3">
        <v>46165</v>
      </c>
      <c r="B389">
        <f t="shared" si="6"/>
        <v>7</v>
      </c>
      <c r="C389" s="4">
        <v>21058</v>
      </c>
    </row>
    <row r="390" spans="1:3" x14ac:dyDescent="0.45">
      <c r="A390" s="3">
        <v>46166</v>
      </c>
      <c r="B390">
        <f t="shared" si="6"/>
        <v>1</v>
      </c>
      <c r="C390" s="4">
        <v>20806</v>
      </c>
    </row>
    <row r="391" spans="1:3" x14ac:dyDescent="0.45">
      <c r="A391" s="3">
        <v>46167</v>
      </c>
      <c r="B391">
        <f t="shared" si="6"/>
        <v>2</v>
      </c>
      <c r="C391" s="4">
        <v>17952</v>
      </c>
    </row>
    <row r="392" spans="1:3" x14ac:dyDescent="0.45">
      <c r="A392" s="3">
        <v>46168</v>
      </c>
      <c r="B392">
        <f t="shared" si="6"/>
        <v>3</v>
      </c>
      <c r="C392" s="4">
        <v>17850</v>
      </c>
    </row>
    <row r="393" spans="1:3" x14ac:dyDescent="0.45">
      <c r="A393" s="3">
        <v>46169</v>
      </c>
      <c r="B393">
        <f t="shared" si="6"/>
        <v>4</v>
      </c>
      <c r="C393" s="4">
        <v>18583</v>
      </c>
    </row>
    <row r="394" spans="1:3" x14ac:dyDescent="0.45">
      <c r="A394" s="3">
        <v>46170</v>
      </c>
      <c r="B394">
        <f t="shared" si="6"/>
        <v>5</v>
      </c>
      <c r="C394" s="4">
        <v>18614</v>
      </c>
    </row>
    <row r="395" spans="1:3" x14ac:dyDescent="0.45">
      <c r="A395" s="3">
        <v>46171</v>
      </c>
      <c r="B395">
        <f t="shared" si="6"/>
        <v>6</v>
      </c>
      <c r="C395" s="4">
        <v>19680</v>
      </c>
    </row>
    <row r="396" spans="1:3" x14ac:dyDescent="0.45">
      <c r="A396" s="3">
        <v>46172</v>
      </c>
      <c r="B396">
        <f t="shared" si="6"/>
        <v>7</v>
      </c>
      <c r="C396" s="4">
        <v>20923</v>
      </c>
    </row>
    <row r="397" spans="1:3" x14ac:dyDescent="0.45">
      <c r="A397" s="3">
        <v>46173</v>
      </c>
      <c r="B397">
        <f t="shared" si="6"/>
        <v>1</v>
      </c>
      <c r="C397" s="4">
        <v>20350</v>
      </c>
    </row>
    <row r="398" spans="1:3" x14ac:dyDescent="0.45">
      <c r="A398" s="3">
        <v>46174</v>
      </c>
      <c r="B398">
        <f t="shared" si="6"/>
        <v>2</v>
      </c>
      <c r="C398" s="4">
        <v>17401</v>
      </c>
    </row>
    <row r="399" spans="1:3" x14ac:dyDescent="0.45">
      <c r="A399" s="3">
        <v>46175</v>
      </c>
      <c r="B399">
        <f t="shared" si="6"/>
        <v>3</v>
      </c>
      <c r="C399" s="4">
        <v>18275</v>
      </c>
    </row>
    <row r="400" spans="1:3" x14ac:dyDescent="0.45">
      <c r="A400" s="3">
        <v>46176</v>
      </c>
      <c r="B400">
        <f t="shared" si="6"/>
        <v>4</v>
      </c>
      <c r="C400" s="4">
        <v>18809</v>
      </c>
    </row>
    <row r="401" spans="1:3" x14ac:dyDescent="0.45">
      <c r="A401" s="3">
        <v>46177</v>
      </c>
      <c r="B401">
        <f t="shared" si="6"/>
        <v>5</v>
      </c>
      <c r="C401" s="4">
        <v>18825</v>
      </c>
    </row>
    <row r="402" spans="1:3" x14ac:dyDescent="0.45">
      <c r="A402" s="3">
        <v>46178</v>
      </c>
      <c r="B402">
        <f t="shared" si="6"/>
        <v>6</v>
      </c>
      <c r="C402" s="4">
        <v>19460</v>
      </c>
    </row>
    <row r="403" spans="1:3" x14ac:dyDescent="0.45">
      <c r="A403" s="3">
        <v>46179</v>
      </c>
      <c r="B403">
        <f t="shared" si="6"/>
        <v>7</v>
      </c>
      <c r="C403" s="4">
        <v>22481</v>
      </c>
    </row>
    <row r="404" spans="1:3" x14ac:dyDescent="0.45">
      <c r="A404" s="3">
        <v>46180</v>
      </c>
      <c r="B404">
        <f t="shared" si="6"/>
        <v>1</v>
      </c>
      <c r="C404" s="4">
        <v>20185</v>
      </c>
    </row>
    <row r="405" spans="1:3" x14ac:dyDescent="0.45">
      <c r="A405" s="3">
        <v>46181</v>
      </c>
      <c r="B405">
        <f t="shared" si="6"/>
        <v>2</v>
      </c>
      <c r="C405" s="4">
        <v>17161</v>
      </c>
    </row>
    <row r="406" spans="1:3" x14ac:dyDescent="0.45">
      <c r="A406" s="3">
        <v>46182</v>
      </c>
      <c r="B406">
        <f t="shared" si="6"/>
        <v>3</v>
      </c>
      <c r="C406" s="4">
        <v>17706</v>
      </c>
    </row>
    <row r="407" spans="1:3" x14ac:dyDescent="0.45">
      <c r="A407" s="3">
        <v>46183</v>
      </c>
      <c r="B407">
        <f t="shared" si="6"/>
        <v>4</v>
      </c>
      <c r="C407" s="4">
        <v>18376</v>
      </c>
    </row>
    <row r="408" spans="1:3" x14ac:dyDescent="0.45">
      <c r="A408" s="3">
        <v>46184</v>
      </c>
      <c r="B408">
        <f t="shared" si="6"/>
        <v>5</v>
      </c>
      <c r="C408" s="4">
        <v>19691</v>
      </c>
    </row>
    <row r="409" spans="1:3" x14ac:dyDescent="0.45">
      <c r="A409" s="3">
        <v>46185</v>
      </c>
      <c r="B409">
        <f t="shared" si="6"/>
        <v>6</v>
      </c>
      <c r="C409" s="4">
        <v>19816</v>
      </c>
    </row>
    <row r="410" spans="1:3" x14ac:dyDescent="0.45">
      <c r="A410" s="3">
        <v>46186</v>
      </c>
      <c r="B410">
        <f t="shared" si="6"/>
        <v>7</v>
      </c>
      <c r="C410" s="4">
        <v>21257</v>
      </c>
    </row>
    <row r="411" spans="1:3" x14ac:dyDescent="0.45">
      <c r="A411" s="3">
        <v>46187</v>
      </c>
      <c r="B411">
        <f t="shared" si="6"/>
        <v>1</v>
      </c>
      <c r="C411" s="4">
        <v>20526</v>
      </c>
    </row>
    <row r="412" spans="1:3" x14ac:dyDescent="0.45">
      <c r="A412" s="3">
        <v>46188</v>
      </c>
      <c r="B412">
        <f t="shared" si="6"/>
        <v>2</v>
      </c>
      <c r="C412" s="4">
        <v>17340</v>
      </c>
    </row>
    <row r="413" spans="1:3" x14ac:dyDescent="0.45">
      <c r="A413" s="3">
        <v>46189</v>
      </c>
      <c r="B413">
        <f t="shared" si="6"/>
        <v>3</v>
      </c>
      <c r="C413" s="4">
        <v>18507</v>
      </c>
    </row>
    <row r="414" spans="1:3" x14ac:dyDescent="0.45">
      <c r="A414" s="3">
        <v>46190</v>
      </c>
      <c r="B414">
        <f t="shared" si="6"/>
        <v>4</v>
      </c>
      <c r="C414" s="4">
        <v>18644</v>
      </c>
    </row>
    <row r="415" spans="1:3" x14ac:dyDescent="0.45">
      <c r="A415" s="3">
        <v>46191</v>
      </c>
      <c r="B415">
        <f t="shared" si="6"/>
        <v>5</v>
      </c>
      <c r="C415" s="4">
        <v>20040</v>
      </c>
    </row>
    <row r="416" spans="1:3" x14ac:dyDescent="0.45">
      <c r="A416" s="3">
        <v>46192</v>
      </c>
      <c r="B416">
        <f t="shared" si="6"/>
        <v>6</v>
      </c>
      <c r="C416" s="4">
        <v>19400</v>
      </c>
    </row>
    <row r="417" spans="1:3" x14ac:dyDescent="0.45">
      <c r="A417" s="3">
        <v>46193</v>
      </c>
      <c r="B417">
        <f t="shared" si="6"/>
        <v>7</v>
      </c>
      <c r="C417" s="4">
        <v>21746</v>
      </c>
    </row>
    <row r="418" spans="1:3" x14ac:dyDescent="0.45">
      <c r="A418" s="3">
        <v>46194</v>
      </c>
      <c r="B418">
        <f t="shared" si="6"/>
        <v>1</v>
      </c>
      <c r="C418" s="4">
        <v>20503</v>
      </c>
    </row>
    <row r="419" spans="1:3" x14ac:dyDescent="0.45">
      <c r="A419" s="3">
        <v>46195</v>
      </c>
      <c r="B419">
        <f t="shared" si="6"/>
        <v>2</v>
      </c>
      <c r="C419" s="4">
        <v>17964</v>
      </c>
    </row>
    <row r="420" spans="1:3" x14ac:dyDescent="0.45">
      <c r="A420" s="3">
        <v>46196</v>
      </c>
      <c r="B420">
        <f t="shared" si="6"/>
        <v>3</v>
      </c>
      <c r="C420" s="4">
        <v>18523</v>
      </c>
    </row>
    <row r="421" spans="1:3" x14ac:dyDescent="0.45">
      <c r="A421" s="3">
        <v>46197</v>
      </c>
      <c r="B421">
        <f t="shared" si="6"/>
        <v>4</v>
      </c>
      <c r="C421" s="4">
        <v>19569</v>
      </c>
    </row>
    <row r="422" spans="1:3" x14ac:dyDescent="0.45">
      <c r="A422" s="3">
        <v>46198</v>
      </c>
      <c r="B422">
        <f t="shared" si="6"/>
        <v>5</v>
      </c>
      <c r="C422" s="4">
        <v>18771</v>
      </c>
    </row>
    <row r="423" spans="1:3" x14ac:dyDescent="0.45">
      <c r="A423" s="3">
        <v>46199</v>
      </c>
      <c r="B423">
        <f t="shared" si="6"/>
        <v>6</v>
      </c>
      <c r="C423" s="4">
        <v>20393</v>
      </c>
    </row>
    <row r="424" spans="1:3" x14ac:dyDescent="0.45">
      <c r="A424" s="3">
        <v>46200</v>
      </c>
      <c r="B424">
        <f t="shared" si="6"/>
        <v>7</v>
      </c>
      <c r="C424" s="4">
        <v>22397</v>
      </c>
    </row>
    <row r="425" spans="1:3" x14ac:dyDescent="0.45">
      <c r="A425" s="3">
        <v>46201</v>
      </c>
      <c r="B425">
        <f t="shared" si="6"/>
        <v>1</v>
      </c>
      <c r="C425" s="4">
        <v>19746</v>
      </c>
    </row>
    <row r="426" spans="1:3" x14ac:dyDescent="0.45">
      <c r="A426" s="3">
        <v>46202</v>
      </c>
      <c r="B426">
        <f t="shared" si="6"/>
        <v>2</v>
      </c>
      <c r="C426" s="4">
        <v>18141</v>
      </c>
    </row>
    <row r="427" spans="1:3" x14ac:dyDescent="0.45">
      <c r="A427" s="3">
        <v>46203</v>
      </c>
      <c r="B427">
        <f t="shared" si="6"/>
        <v>3</v>
      </c>
      <c r="C427" s="4">
        <v>18454</v>
      </c>
    </row>
    <row r="428" spans="1:3" x14ac:dyDescent="0.45">
      <c r="A428" s="3">
        <v>46204</v>
      </c>
      <c r="B428">
        <f t="shared" si="6"/>
        <v>4</v>
      </c>
      <c r="C428" s="4">
        <v>18786</v>
      </c>
    </row>
    <row r="429" spans="1:3" x14ac:dyDescent="0.45">
      <c r="A429" s="3">
        <v>46205</v>
      </c>
      <c r="B429">
        <f t="shared" si="6"/>
        <v>5</v>
      </c>
      <c r="C429" s="4">
        <v>18746</v>
      </c>
    </row>
    <row r="430" spans="1:3" x14ac:dyDescent="0.45">
      <c r="A430" s="3">
        <v>46206</v>
      </c>
      <c r="B430">
        <f t="shared" si="6"/>
        <v>6</v>
      </c>
      <c r="C430" s="4">
        <v>19842</v>
      </c>
    </row>
    <row r="431" spans="1:3" x14ac:dyDescent="0.45">
      <c r="A431" s="3">
        <v>46207</v>
      </c>
      <c r="B431">
        <f t="shared" si="6"/>
        <v>7</v>
      </c>
      <c r="C431" s="4">
        <v>21787</v>
      </c>
    </row>
    <row r="432" spans="1:3" x14ac:dyDescent="0.45">
      <c r="A432" s="3">
        <v>46208</v>
      </c>
      <c r="B432">
        <f t="shared" si="6"/>
        <v>1</v>
      </c>
      <c r="C432" s="4">
        <v>20550</v>
      </c>
    </row>
    <row r="433" spans="1:3" x14ac:dyDescent="0.45">
      <c r="A433" s="3">
        <v>46209</v>
      </c>
      <c r="B433">
        <f t="shared" si="6"/>
        <v>2</v>
      </c>
      <c r="C433" s="4">
        <v>18072</v>
      </c>
    </row>
    <row r="434" spans="1:3" x14ac:dyDescent="0.45">
      <c r="A434" s="3">
        <v>46210</v>
      </c>
      <c r="B434">
        <f t="shared" si="6"/>
        <v>3</v>
      </c>
      <c r="C434" s="4">
        <v>18108</v>
      </c>
    </row>
    <row r="435" spans="1:3" x14ac:dyDescent="0.45">
      <c r="A435" s="3">
        <v>46211</v>
      </c>
      <c r="B435">
        <f t="shared" si="6"/>
        <v>4</v>
      </c>
      <c r="C435" s="4">
        <v>19456</v>
      </c>
    </row>
    <row r="436" spans="1:3" x14ac:dyDescent="0.45">
      <c r="A436" s="3">
        <v>46212</v>
      </c>
      <c r="B436">
        <f t="shared" si="6"/>
        <v>5</v>
      </c>
      <c r="C436" s="4">
        <v>19549</v>
      </c>
    </row>
    <row r="437" spans="1:3" x14ac:dyDescent="0.45">
      <c r="A437" s="3">
        <v>46213</v>
      </c>
      <c r="B437">
        <f t="shared" si="6"/>
        <v>6</v>
      </c>
      <c r="C437" s="4">
        <v>19764</v>
      </c>
    </row>
    <row r="438" spans="1:3" x14ac:dyDescent="0.45">
      <c r="A438" s="3">
        <v>46214</v>
      </c>
      <c r="B438">
        <f t="shared" si="6"/>
        <v>7</v>
      </c>
      <c r="C438" s="4">
        <v>22569</v>
      </c>
    </row>
    <row r="439" spans="1:3" x14ac:dyDescent="0.45">
      <c r="A439" s="3">
        <v>46215</v>
      </c>
      <c r="B439">
        <f t="shared" si="6"/>
        <v>1</v>
      </c>
      <c r="C439" s="4">
        <v>20505</v>
      </c>
    </row>
    <row r="440" spans="1:3" x14ac:dyDescent="0.45">
      <c r="A440" s="3">
        <v>46216</v>
      </c>
      <c r="B440">
        <f t="shared" si="6"/>
        <v>2</v>
      </c>
      <c r="C440" s="4">
        <v>17197</v>
      </c>
    </row>
    <row r="441" spans="1:3" x14ac:dyDescent="0.45">
      <c r="A441" s="3">
        <v>46217</v>
      </c>
      <c r="B441">
        <f t="shared" si="6"/>
        <v>3</v>
      </c>
      <c r="C441" s="4">
        <v>18987</v>
      </c>
    </row>
    <row r="442" spans="1:3" x14ac:dyDescent="0.45">
      <c r="A442" s="3">
        <v>46218</v>
      </c>
      <c r="B442">
        <f t="shared" si="6"/>
        <v>4</v>
      </c>
      <c r="C442" s="4">
        <v>19367</v>
      </c>
    </row>
    <row r="443" spans="1:3" x14ac:dyDescent="0.45">
      <c r="A443" s="3">
        <v>46219</v>
      </c>
      <c r="B443">
        <f t="shared" si="6"/>
        <v>5</v>
      </c>
      <c r="C443" s="4">
        <v>19214</v>
      </c>
    </row>
    <row r="444" spans="1:3" x14ac:dyDescent="0.45">
      <c r="A444" s="3">
        <v>46220</v>
      </c>
      <c r="B444">
        <f t="shared" si="6"/>
        <v>6</v>
      </c>
      <c r="C444" s="4">
        <v>20247</v>
      </c>
    </row>
    <row r="445" spans="1:3" x14ac:dyDescent="0.45">
      <c r="A445" s="3">
        <v>46221</v>
      </c>
      <c r="B445">
        <f t="shared" si="6"/>
        <v>7</v>
      </c>
      <c r="C445" s="4">
        <v>21839</v>
      </c>
    </row>
    <row r="446" spans="1:3" x14ac:dyDescent="0.45">
      <c r="A446" s="3">
        <v>46222</v>
      </c>
      <c r="B446">
        <f t="shared" si="6"/>
        <v>1</v>
      </c>
      <c r="C446" s="4">
        <v>20502</v>
      </c>
    </row>
    <row r="447" spans="1:3" x14ac:dyDescent="0.45">
      <c r="A447" s="3">
        <v>46223</v>
      </c>
      <c r="B447">
        <f t="shared" si="6"/>
        <v>2</v>
      </c>
      <c r="C447" s="4">
        <v>18294</v>
      </c>
    </row>
    <row r="448" spans="1:3" x14ac:dyDescent="0.45">
      <c r="A448" s="3">
        <v>46224</v>
      </c>
      <c r="B448">
        <f t="shared" si="6"/>
        <v>3</v>
      </c>
      <c r="C448" s="4">
        <v>18127</v>
      </c>
    </row>
    <row r="449" spans="1:3" x14ac:dyDescent="0.45">
      <c r="A449" s="3">
        <v>46225</v>
      </c>
      <c r="B449">
        <f t="shared" si="6"/>
        <v>4</v>
      </c>
      <c r="C449" s="4">
        <v>19370</v>
      </c>
    </row>
    <row r="450" spans="1:3" x14ac:dyDescent="0.45">
      <c r="A450" s="3">
        <v>46226</v>
      </c>
      <c r="B450">
        <f t="shared" ref="B450:B513" si="7">WEEKDAY(A450,1)</f>
        <v>5</v>
      </c>
      <c r="C450" s="4">
        <v>19425</v>
      </c>
    </row>
    <row r="451" spans="1:3" x14ac:dyDescent="0.45">
      <c r="A451" s="3">
        <v>46227</v>
      </c>
      <c r="B451">
        <f t="shared" si="7"/>
        <v>6</v>
      </c>
      <c r="C451" s="4">
        <v>20285</v>
      </c>
    </row>
    <row r="452" spans="1:3" x14ac:dyDescent="0.45">
      <c r="A452" s="3">
        <v>46228</v>
      </c>
      <c r="B452">
        <f t="shared" si="7"/>
        <v>7</v>
      </c>
      <c r="C452" s="4">
        <v>22229</v>
      </c>
    </row>
    <row r="453" spans="1:3" x14ac:dyDescent="0.45">
      <c r="A453" s="3">
        <v>46229</v>
      </c>
      <c r="B453">
        <f t="shared" si="7"/>
        <v>1</v>
      </c>
      <c r="C453" s="4">
        <v>20367</v>
      </c>
    </row>
    <row r="454" spans="1:3" x14ac:dyDescent="0.45">
      <c r="A454" s="3">
        <v>46230</v>
      </c>
      <c r="B454">
        <f t="shared" si="7"/>
        <v>2</v>
      </c>
      <c r="C454" s="4">
        <v>17913</v>
      </c>
    </row>
    <row r="455" spans="1:3" x14ac:dyDescent="0.45">
      <c r="A455" s="3">
        <v>46231</v>
      </c>
      <c r="B455">
        <f t="shared" si="7"/>
        <v>3</v>
      </c>
      <c r="C455" s="4">
        <v>17877</v>
      </c>
    </row>
    <row r="456" spans="1:3" x14ac:dyDescent="0.45">
      <c r="A456" s="3">
        <v>46232</v>
      </c>
      <c r="B456">
        <f t="shared" si="7"/>
        <v>4</v>
      </c>
      <c r="C456" s="4">
        <v>19734</v>
      </c>
    </row>
    <row r="457" spans="1:3" x14ac:dyDescent="0.45">
      <c r="A457" s="3">
        <v>46233</v>
      </c>
      <c r="B457">
        <f t="shared" si="7"/>
        <v>5</v>
      </c>
      <c r="C457" s="4">
        <v>18923</v>
      </c>
    </row>
    <row r="458" spans="1:3" x14ac:dyDescent="0.45">
      <c r="A458" s="3">
        <v>46234</v>
      </c>
      <c r="B458">
        <f t="shared" si="7"/>
        <v>6</v>
      </c>
      <c r="C458" s="4">
        <v>20406</v>
      </c>
    </row>
    <row r="459" spans="1:3" x14ac:dyDescent="0.45">
      <c r="A459" s="3">
        <v>46235</v>
      </c>
      <c r="B459">
        <f t="shared" si="7"/>
        <v>7</v>
      </c>
      <c r="C459" s="4">
        <v>21312</v>
      </c>
    </row>
    <row r="460" spans="1:3" x14ac:dyDescent="0.45">
      <c r="A460" s="3">
        <v>46236</v>
      </c>
      <c r="B460">
        <f t="shared" si="7"/>
        <v>1</v>
      </c>
      <c r="C460" s="4">
        <v>20403</v>
      </c>
    </row>
    <row r="461" spans="1:3" x14ac:dyDescent="0.45">
      <c r="A461" s="3">
        <v>46237</v>
      </c>
      <c r="B461">
        <f t="shared" si="7"/>
        <v>2</v>
      </c>
      <c r="C461" s="4">
        <v>18323</v>
      </c>
    </row>
    <row r="462" spans="1:3" x14ac:dyDescent="0.45">
      <c r="A462" s="3">
        <v>46238</v>
      </c>
      <c r="B462">
        <f t="shared" si="7"/>
        <v>3</v>
      </c>
      <c r="C462" s="4">
        <v>18819</v>
      </c>
    </row>
    <row r="463" spans="1:3" x14ac:dyDescent="0.45">
      <c r="A463" s="3">
        <v>46239</v>
      </c>
      <c r="B463">
        <f t="shared" si="7"/>
        <v>4</v>
      </c>
      <c r="C463" s="4">
        <v>19134</v>
      </c>
    </row>
    <row r="464" spans="1:3" x14ac:dyDescent="0.45">
      <c r="A464" s="3">
        <v>46240</v>
      </c>
      <c r="B464">
        <f t="shared" si="7"/>
        <v>5</v>
      </c>
      <c r="C464" s="4">
        <v>20101</v>
      </c>
    </row>
    <row r="465" spans="1:3" x14ac:dyDescent="0.45">
      <c r="A465" s="3">
        <v>46241</v>
      </c>
      <c r="B465">
        <f t="shared" si="7"/>
        <v>6</v>
      </c>
      <c r="C465" s="4">
        <v>20691</v>
      </c>
    </row>
    <row r="466" spans="1:3" x14ac:dyDescent="0.45">
      <c r="A466" s="3">
        <v>46242</v>
      </c>
      <c r="B466">
        <f t="shared" si="7"/>
        <v>7</v>
      </c>
      <c r="C466" s="4">
        <v>21562</v>
      </c>
    </row>
    <row r="467" spans="1:3" x14ac:dyDescent="0.45">
      <c r="A467" s="3">
        <v>46243</v>
      </c>
      <c r="B467">
        <f t="shared" si="7"/>
        <v>1</v>
      </c>
      <c r="C467" s="4">
        <v>20522</v>
      </c>
    </row>
    <row r="468" spans="1:3" x14ac:dyDescent="0.45">
      <c r="A468" s="3">
        <v>46244</v>
      </c>
      <c r="B468">
        <f t="shared" si="7"/>
        <v>2</v>
      </c>
      <c r="C468" s="4">
        <v>17237</v>
      </c>
    </row>
    <row r="469" spans="1:3" x14ac:dyDescent="0.45">
      <c r="A469" s="3">
        <v>46245</v>
      </c>
      <c r="B469">
        <f t="shared" si="7"/>
        <v>3</v>
      </c>
      <c r="C469" s="4">
        <v>19016</v>
      </c>
    </row>
    <row r="470" spans="1:3" x14ac:dyDescent="0.45">
      <c r="A470" s="3">
        <v>46246</v>
      </c>
      <c r="B470">
        <f t="shared" si="7"/>
        <v>4</v>
      </c>
      <c r="C470" s="4">
        <v>18969</v>
      </c>
    </row>
    <row r="471" spans="1:3" x14ac:dyDescent="0.45">
      <c r="A471" s="3">
        <v>46247</v>
      </c>
      <c r="B471">
        <f t="shared" si="7"/>
        <v>5</v>
      </c>
      <c r="C471" s="4">
        <v>19256</v>
      </c>
    </row>
    <row r="472" spans="1:3" x14ac:dyDescent="0.45">
      <c r="A472" s="3">
        <v>46248</v>
      </c>
      <c r="B472">
        <f t="shared" si="7"/>
        <v>6</v>
      </c>
      <c r="C472" s="4">
        <v>19869</v>
      </c>
    </row>
    <row r="473" spans="1:3" x14ac:dyDescent="0.45">
      <c r="A473" s="3">
        <v>46249</v>
      </c>
      <c r="B473">
        <f t="shared" si="7"/>
        <v>7</v>
      </c>
      <c r="C473" s="4">
        <v>21369</v>
      </c>
    </row>
    <row r="474" spans="1:3" x14ac:dyDescent="0.45">
      <c r="A474" s="3">
        <v>46250</v>
      </c>
      <c r="B474">
        <f t="shared" si="7"/>
        <v>1</v>
      </c>
      <c r="C474" s="4">
        <v>20089</v>
      </c>
    </row>
    <row r="475" spans="1:3" x14ac:dyDescent="0.45">
      <c r="A475" s="3">
        <v>46251</v>
      </c>
      <c r="B475">
        <f t="shared" si="7"/>
        <v>2</v>
      </c>
      <c r="C475" s="4">
        <v>18470</v>
      </c>
    </row>
    <row r="476" spans="1:3" x14ac:dyDescent="0.45">
      <c r="A476" s="3">
        <v>46252</v>
      </c>
      <c r="B476">
        <f t="shared" si="7"/>
        <v>3</v>
      </c>
      <c r="C476" s="4">
        <v>17848</v>
      </c>
    </row>
    <row r="477" spans="1:3" x14ac:dyDescent="0.45">
      <c r="A477" s="3">
        <v>46253</v>
      </c>
      <c r="B477">
        <f t="shared" si="7"/>
        <v>4</v>
      </c>
      <c r="C477" s="4">
        <v>18376</v>
      </c>
    </row>
    <row r="478" spans="1:3" x14ac:dyDescent="0.45">
      <c r="A478" s="3">
        <v>46254</v>
      </c>
      <c r="B478">
        <f t="shared" si="7"/>
        <v>5</v>
      </c>
      <c r="C478" s="4">
        <v>19048</v>
      </c>
    </row>
    <row r="479" spans="1:3" x14ac:dyDescent="0.45">
      <c r="A479" s="3">
        <v>46255</v>
      </c>
      <c r="B479">
        <f t="shared" si="7"/>
        <v>6</v>
      </c>
      <c r="C479" s="4">
        <v>19904</v>
      </c>
    </row>
    <row r="480" spans="1:3" x14ac:dyDescent="0.45">
      <c r="A480" s="3">
        <v>46256</v>
      </c>
      <c r="B480">
        <f t="shared" si="7"/>
        <v>7</v>
      </c>
      <c r="C480" s="4">
        <v>21709</v>
      </c>
    </row>
    <row r="481" spans="1:3" x14ac:dyDescent="0.45">
      <c r="A481" s="3">
        <v>46257</v>
      </c>
      <c r="B481">
        <f t="shared" si="7"/>
        <v>1</v>
      </c>
      <c r="C481" s="4">
        <v>19695</v>
      </c>
    </row>
    <row r="482" spans="1:3" x14ac:dyDescent="0.45">
      <c r="A482" s="3">
        <v>46258</v>
      </c>
      <c r="B482">
        <f t="shared" si="7"/>
        <v>2</v>
      </c>
      <c r="C482" s="4">
        <v>18349</v>
      </c>
    </row>
    <row r="483" spans="1:3" x14ac:dyDescent="0.45">
      <c r="A483" s="3">
        <v>46259</v>
      </c>
      <c r="B483">
        <f t="shared" si="7"/>
        <v>3</v>
      </c>
      <c r="C483" s="4">
        <v>18669</v>
      </c>
    </row>
    <row r="484" spans="1:3" x14ac:dyDescent="0.45">
      <c r="A484" s="3">
        <v>46260</v>
      </c>
      <c r="B484">
        <f t="shared" si="7"/>
        <v>4</v>
      </c>
      <c r="C484" s="4">
        <v>19663</v>
      </c>
    </row>
    <row r="485" spans="1:3" x14ac:dyDescent="0.45">
      <c r="A485" s="3">
        <v>46261</v>
      </c>
      <c r="B485">
        <f t="shared" si="7"/>
        <v>5</v>
      </c>
      <c r="C485" s="4">
        <v>19314</v>
      </c>
    </row>
    <row r="486" spans="1:3" x14ac:dyDescent="0.45">
      <c r="A486" s="3">
        <v>46262</v>
      </c>
      <c r="B486">
        <f t="shared" si="7"/>
        <v>6</v>
      </c>
      <c r="C486" s="4">
        <v>19871</v>
      </c>
    </row>
    <row r="487" spans="1:3" x14ac:dyDescent="0.45">
      <c r="A487" s="3">
        <v>46263</v>
      </c>
      <c r="B487">
        <f t="shared" si="7"/>
        <v>7</v>
      </c>
      <c r="C487" s="4">
        <v>21635</v>
      </c>
    </row>
    <row r="488" spans="1:3" x14ac:dyDescent="0.45">
      <c r="A488" s="3">
        <v>46264</v>
      </c>
      <c r="B488">
        <f t="shared" si="7"/>
        <v>1</v>
      </c>
      <c r="C488" s="4">
        <v>20199</v>
      </c>
    </row>
    <row r="489" spans="1:3" x14ac:dyDescent="0.45">
      <c r="A489" s="3">
        <v>46265</v>
      </c>
      <c r="B489">
        <f t="shared" si="7"/>
        <v>2</v>
      </c>
      <c r="C489" s="4">
        <v>17511</v>
      </c>
    </row>
    <row r="490" spans="1:3" x14ac:dyDescent="0.45">
      <c r="A490" s="3">
        <v>46266</v>
      </c>
      <c r="B490">
        <f t="shared" si="7"/>
        <v>3</v>
      </c>
      <c r="C490" s="4">
        <v>18383</v>
      </c>
    </row>
    <row r="491" spans="1:3" x14ac:dyDescent="0.45">
      <c r="A491" s="3">
        <v>46267</v>
      </c>
      <c r="B491">
        <f t="shared" si="7"/>
        <v>4</v>
      </c>
      <c r="C491" s="4">
        <v>19115</v>
      </c>
    </row>
    <row r="492" spans="1:3" x14ac:dyDescent="0.45">
      <c r="A492" s="3">
        <v>46268</v>
      </c>
      <c r="B492">
        <f t="shared" si="7"/>
        <v>5</v>
      </c>
      <c r="C492" s="4">
        <v>20288</v>
      </c>
    </row>
    <row r="493" spans="1:3" x14ac:dyDescent="0.45">
      <c r="A493" s="3">
        <v>46269</v>
      </c>
      <c r="B493">
        <f t="shared" si="7"/>
        <v>6</v>
      </c>
      <c r="C493" s="4">
        <v>20500</v>
      </c>
    </row>
    <row r="494" spans="1:3" x14ac:dyDescent="0.45">
      <c r="A494" s="3">
        <v>46270</v>
      </c>
      <c r="B494">
        <f t="shared" si="7"/>
        <v>7</v>
      </c>
      <c r="C494" s="4">
        <v>22474</v>
      </c>
    </row>
    <row r="495" spans="1:3" x14ac:dyDescent="0.45">
      <c r="A495" s="3">
        <v>46271</v>
      </c>
      <c r="B495">
        <f t="shared" si="7"/>
        <v>1</v>
      </c>
      <c r="C495" s="4">
        <v>20309</v>
      </c>
    </row>
    <row r="496" spans="1:3" x14ac:dyDescent="0.45">
      <c r="A496" s="3">
        <v>46272</v>
      </c>
      <c r="B496">
        <f t="shared" si="7"/>
        <v>2</v>
      </c>
      <c r="C496" s="4">
        <v>18059</v>
      </c>
    </row>
    <row r="497" spans="1:3" x14ac:dyDescent="0.45">
      <c r="A497" s="3">
        <v>46273</v>
      </c>
      <c r="B497">
        <f t="shared" si="7"/>
        <v>3</v>
      </c>
      <c r="C497" s="4">
        <v>18350</v>
      </c>
    </row>
    <row r="498" spans="1:3" x14ac:dyDescent="0.45">
      <c r="A498" s="3">
        <v>46274</v>
      </c>
      <c r="B498">
        <f t="shared" si="7"/>
        <v>4</v>
      </c>
      <c r="C498" s="4">
        <v>19465</v>
      </c>
    </row>
    <row r="499" spans="1:3" x14ac:dyDescent="0.45">
      <c r="A499" s="3">
        <v>46275</v>
      </c>
      <c r="B499">
        <f t="shared" si="7"/>
        <v>5</v>
      </c>
      <c r="C499" s="4">
        <v>19895</v>
      </c>
    </row>
    <row r="500" spans="1:3" x14ac:dyDescent="0.45">
      <c r="A500" s="3">
        <v>46276</v>
      </c>
      <c r="B500">
        <f t="shared" si="7"/>
        <v>6</v>
      </c>
      <c r="C500" s="4">
        <v>20690</v>
      </c>
    </row>
    <row r="501" spans="1:3" x14ac:dyDescent="0.45">
      <c r="A501" s="3">
        <v>46277</v>
      </c>
      <c r="B501">
        <f t="shared" si="7"/>
        <v>7</v>
      </c>
      <c r="C501" s="4">
        <v>22190</v>
      </c>
    </row>
    <row r="502" spans="1:3" x14ac:dyDescent="0.45">
      <c r="A502" s="3">
        <v>46278</v>
      </c>
      <c r="B502">
        <f t="shared" si="7"/>
        <v>1</v>
      </c>
      <c r="C502" s="4">
        <v>21027</v>
      </c>
    </row>
    <row r="503" spans="1:3" x14ac:dyDescent="0.45">
      <c r="A503" s="3">
        <v>46279</v>
      </c>
      <c r="B503">
        <f t="shared" si="7"/>
        <v>2</v>
      </c>
      <c r="C503" s="4">
        <v>18060</v>
      </c>
    </row>
    <row r="504" spans="1:3" x14ac:dyDescent="0.45">
      <c r="A504" s="3">
        <v>46280</v>
      </c>
      <c r="B504">
        <f t="shared" si="7"/>
        <v>3</v>
      </c>
      <c r="C504" s="4">
        <v>18714</v>
      </c>
    </row>
    <row r="505" spans="1:3" x14ac:dyDescent="0.45">
      <c r="A505" s="3">
        <v>46281</v>
      </c>
      <c r="B505">
        <f t="shared" si="7"/>
        <v>4</v>
      </c>
      <c r="C505" s="4">
        <v>19358</v>
      </c>
    </row>
    <row r="506" spans="1:3" x14ac:dyDescent="0.45">
      <c r="A506" s="3">
        <v>46282</v>
      </c>
      <c r="B506">
        <f t="shared" si="7"/>
        <v>5</v>
      </c>
      <c r="C506" s="4">
        <v>19830</v>
      </c>
    </row>
    <row r="507" spans="1:3" x14ac:dyDescent="0.45">
      <c r="A507" s="3">
        <v>46283</v>
      </c>
      <c r="B507">
        <f t="shared" si="7"/>
        <v>6</v>
      </c>
      <c r="C507" s="4">
        <v>19905</v>
      </c>
    </row>
    <row r="508" spans="1:3" x14ac:dyDescent="0.45">
      <c r="A508" s="3">
        <v>46284</v>
      </c>
      <c r="B508">
        <f t="shared" si="7"/>
        <v>7</v>
      </c>
      <c r="C508" s="4">
        <v>21680</v>
      </c>
    </row>
    <row r="509" spans="1:3" x14ac:dyDescent="0.45">
      <c r="A509" s="3">
        <v>46285</v>
      </c>
      <c r="B509">
        <f t="shared" si="7"/>
        <v>1</v>
      </c>
      <c r="C509" s="4">
        <v>20800</v>
      </c>
    </row>
    <row r="510" spans="1:3" x14ac:dyDescent="0.45">
      <c r="A510" s="3">
        <v>46286</v>
      </c>
      <c r="B510">
        <f t="shared" si="7"/>
        <v>2</v>
      </c>
      <c r="C510" s="4">
        <v>17865</v>
      </c>
    </row>
    <row r="511" spans="1:3" x14ac:dyDescent="0.45">
      <c r="A511" s="3">
        <v>46287</v>
      </c>
      <c r="B511">
        <f t="shared" si="7"/>
        <v>3</v>
      </c>
      <c r="C511" s="4">
        <v>18334</v>
      </c>
    </row>
    <row r="512" spans="1:3" x14ac:dyDescent="0.45">
      <c r="A512" s="3">
        <v>46288</v>
      </c>
      <c r="B512">
        <f t="shared" si="7"/>
        <v>4</v>
      </c>
      <c r="C512" s="4">
        <v>18612</v>
      </c>
    </row>
    <row r="513" spans="1:3" x14ac:dyDescent="0.45">
      <c r="A513" s="3">
        <v>46289</v>
      </c>
      <c r="B513">
        <f t="shared" si="7"/>
        <v>5</v>
      </c>
      <c r="C513" s="4">
        <v>19012</v>
      </c>
    </row>
    <row r="514" spans="1:3" x14ac:dyDescent="0.45">
      <c r="A514" s="3">
        <v>46290</v>
      </c>
      <c r="B514">
        <f t="shared" ref="B514:B577" si="8">WEEKDAY(A514,1)</f>
        <v>6</v>
      </c>
      <c r="C514" s="4">
        <v>19756</v>
      </c>
    </row>
    <row r="515" spans="1:3" x14ac:dyDescent="0.45">
      <c r="A515" s="3">
        <v>46291</v>
      </c>
      <c r="B515">
        <f t="shared" si="8"/>
        <v>7</v>
      </c>
      <c r="C515" s="4">
        <v>22654</v>
      </c>
    </row>
    <row r="516" spans="1:3" x14ac:dyDescent="0.45">
      <c r="A516" s="3">
        <v>46292</v>
      </c>
      <c r="B516">
        <f t="shared" si="8"/>
        <v>1</v>
      </c>
      <c r="C516" s="4">
        <v>19742</v>
      </c>
    </row>
    <row r="517" spans="1:3" x14ac:dyDescent="0.45">
      <c r="A517" s="3">
        <v>46293</v>
      </c>
      <c r="B517">
        <f t="shared" si="8"/>
        <v>2</v>
      </c>
      <c r="C517" s="4">
        <v>17496</v>
      </c>
    </row>
    <row r="518" spans="1:3" x14ac:dyDescent="0.45">
      <c r="A518" s="3">
        <v>46294</v>
      </c>
      <c r="B518">
        <f t="shared" si="8"/>
        <v>3</v>
      </c>
      <c r="C518" s="4">
        <v>19014</v>
      </c>
    </row>
    <row r="519" spans="1:3" x14ac:dyDescent="0.45">
      <c r="A519" s="3">
        <v>46295</v>
      </c>
      <c r="B519">
        <f t="shared" si="8"/>
        <v>4</v>
      </c>
      <c r="C519" s="4">
        <v>19100</v>
      </c>
    </row>
    <row r="520" spans="1:3" x14ac:dyDescent="0.45">
      <c r="A520" s="3">
        <v>46296</v>
      </c>
      <c r="B520">
        <f t="shared" si="8"/>
        <v>5</v>
      </c>
      <c r="C520" s="4">
        <v>19160</v>
      </c>
    </row>
    <row r="521" spans="1:3" x14ac:dyDescent="0.45">
      <c r="A521" s="3">
        <v>46297</v>
      </c>
      <c r="B521">
        <f t="shared" si="8"/>
        <v>6</v>
      </c>
      <c r="C521" s="4">
        <v>19647</v>
      </c>
    </row>
    <row r="522" spans="1:3" x14ac:dyDescent="0.45">
      <c r="A522" s="3">
        <v>46298</v>
      </c>
      <c r="B522">
        <f t="shared" si="8"/>
        <v>7</v>
      </c>
      <c r="C522" s="4">
        <v>22007</v>
      </c>
    </row>
    <row r="523" spans="1:3" x14ac:dyDescent="0.45">
      <c r="A523" s="3">
        <v>46299</v>
      </c>
      <c r="B523">
        <f t="shared" si="8"/>
        <v>1</v>
      </c>
      <c r="C523" s="4">
        <v>20635</v>
      </c>
    </row>
    <row r="524" spans="1:3" x14ac:dyDescent="0.45">
      <c r="A524" s="3">
        <v>46300</v>
      </c>
      <c r="B524">
        <f t="shared" si="8"/>
        <v>2</v>
      </c>
      <c r="C524" s="4">
        <v>17992</v>
      </c>
    </row>
    <row r="525" spans="1:3" x14ac:dyDescent="0.45">
      <c r="A525" s="3">
        <v>46301</v>
      </c>
      <c r="B525">
        <f t="shared" si="8"/>
        <v>3</v>
      </c>
      <c r="C525" s="4">
        <v>18514</v>
      </c>
    </row>
    <row r="526" spans="1:3" x14ac:dyDescent="0.45">
      <c r="A526" s="3">
        <v>46302</v>
      </c>
      <c r="B526">
        <f t="shared" si="8"/>
        <v>4</v>
      </c>
      <c r="C526" s="4">
        <v>19011</v>
      </c>
    </row>
    <row r="527" spans="1:3" x14ac:dyDescent="0.45">
      <c r="A527" s="3">
        <v>46303</v>
      </c>
      <c r="B527">
        <f t="shared" si="8"/>
        <v>5</v>
      </c>
      <c r="C527" s="4">
        <v>20026</v>
      </c>
    </row>
    <row r="528" spans="1:3" x14ac:dyDescent="0.45">
      <c r="A528" s="3">
        <v>46304</v>
      </c>
      <c r="B528">
        <f t="shared" si="8"/>
        <v>6</v>
      </c>
      <c r="C528" s="4">
        <v>20367</v>
      </c>
    </row>
    <row r="529" spans="1:3" x14ac:dyDescent="0.45">
      <c r="A529" s="3">
        <v>46305</v>
      </c>
      <c r="B529">
        <f t="shared" si="8"/>
        <v>7</v>
      </c>
      <c r="C529" s="4">
        <v>22200</v>
      </c>
    </row>
    <row r="530" spans="1:3" x14ac:dyDescent="0.45">
      <c r="A530" s="3">
        <v>46306</v>
      </c>
      <c r="B530">
        <f t="shared" si="8"/>
        <v>1</v>
      </c>
      <c r="C530" s="4">
        <v>20022</v>
      </c>
    </row>
    <row r="531" spans="1:3" x14ac:dyDescent="0.45">
      <c r="A531" s="3">
        <v>46307</v>
      </c>
      <c r="B531">
        <f t="shared" si="8"/>
        <v>2</v>
      </c>
      <c r="C531" s="4">
        <v>17808</v>
      </c>
    </row>
    <row r="532" spans="1:3" x14ac:dyDescent="0.45">
      <c r="A532" s="3">
        <v>46308</v>
      </c>
      <c r="B532">
        <f t="shared" si="8"/>
        <v>3</v>
      </c>
      <c r="C532" s="4">
        <v>18621</v>
      </c>
    </row>
    <row r="533" spans="1:3" x14ac:dyDescent="0.45">
      <c r="A533" s="3">
        <v>46309</v>
      </c>
      <c r="B533">
        <f t="shared" si="8"/>
        <v>4</v>
      </c>
      <c r="C533" s="4">
        <v>19678</v>
      </c>
    </row>
    <row r="534" spans="1:3" x14ac:dyDescent="0.45">
      <c r="A534" s="3">
        <v>46310</v>
      </c>
      <c r="B534">
        <f t="shared" si="8"/>
        <v>5</v>
      </c>
      <c r="C534" s="4">
        <v>19927</v>
      </c>
    </row>
    <row r="535" spans="1:3" x14ac:dyDescent="0.45">
      <c r="A535" s="3">
        <v>46311</v>
      </c>
      <c r="B535">
        <f t="shared" si="8"/>
        <v>6</v>
      </c>
      <c r="C535" s="4">
        <v>19908</v>
      </c>
    </row>
    <row r="536" spans="1:3" x14ac:dyDescent="0.45">
      <c r="A536" s="3">
        <v>46312</v>
      </c>
      <c r="B536">
        <f t="shared" si="8"/>
        <v>7</v>
      </c>
      <c r="C536" s="4">
        <v>21861</v>
      </c>
    </row>
    <row r="537" spans="1:3" x14ac:dyDescent="0.45">
      <c r="A537" s="3">
        <v>46313</v>
      </c>
      <c r="B537">
        <f t="shared" si="8"/>
        <v>1</v>
      </c>
      <c r="C537" s="4">
        <v>21241</v>
      </c>
    </row>
    <row r="538" spans="1:3" x14ac:dyDescent="0.45">
      <c r="A538" s="3">
        <v>46314</v>
      </c>
      <c r="B538">
        <f t="shared" si="8"/>
        <v>2</v>
      </c>
      <c r="C538" s="4">
        <v>18359</v>
      </c>
    </row>
    <row r="539" spans="1:3" x14ac:dyDescent="0.45">
      <c r="A539" s="3">
        <v>46315</v>
      </c>
      <c r="B539">
        <f t="shared" si="8"/>
        <v>3</v>
      </c>
      <c r="C539" s="4">
        <v>18967</v>
      </c>
    </row>
    <row r="540" spans="1:3" x14ac:dyDescent="0.45">
      <c r="A540" s="3">
        <v>46316</v>
      </c>
      <c r="B540">
        <f t="shared" si="8"/>
        <v>4</v>
      </c>
      <c r="C540" s="4">
        <v>18667</v>
      </c>
    </row>
    <row r="541" spans="1:3" x14ac:dyDescent="0.45">
      <c r="A541" s="3">
        <v>46317</v>
      </c>
      <c r="B541">
        <f t="shared" si="8"/>
        <v>5</v>
      </c>
      <c r="C541" s="4">
        <v>19490</v>
      </c>
    </row>
    <row r="542" spans="1:3" x14ac:dyDescent="0.45">
      <c r="A542" s="3">
        <v>46318</v>
      </c>
      <c r="B542">
        <f t="shared" si="8"/>
        <v>6</v>
      </c>
      <c r="C542" s="4">
        <v>19481</v>
      </c>
    </row>
    <row r="543" spans="1:3" x14ac:dyDescent="0.45">
      <c r="A543" s="3">
        <v>46319</v>
      </c>
      <c r="B543">
        <f t="shared" si="8"/>
        <v>7</v>
      </c>
      <c r="C543" s="4">
        <v>21499</v>
      </c>
    </row>
    <row r="544" spans="1:3" x14ac:dyDescent="0.45">
      <c r="A544" s="3">
        <v>46320</v>
      </c>
      <c r="B544">
        <f t="shared" si="8"/>
        <v>1</v>
      </c>
      <c r="C544" s="4">
        <v>20029</v>
      </c>
    </row>
    <row r="545" spans="1:3" x14ac:dyDescent="0.45">
      <c r="A545" s="3">
        <v>46321</v>
      </c>
      <c r="B545">
        <f t="shared" si="8"/>
        <v>2</v>
      </c>
      <c r="C545" s="4">
        <v>17816</v>
      </c>
    </row>
    <row r="546" spans="1:3" x14ac:dyDescent="0.45">
      <c r="A546" s="3">
        <v>46322</v>
      </c>
      <c r="B546">
        <f t="shared" si="8"/>
        <v>3</v>
      </c>
      <c r="C546" s="4">
        <v>18629</v>
      </c>
    </row>
    <row r="547" spans="1:3" x14ac:dyDescent="0.45">
      <c r="A547" s="3">
        <v>46323</v>
      </c>
      <c r="B547">
        <f t="shared" si="8"/>
        <v>4</v>
      </c>
      <c r="C547" s="4">
        <v>18773</v>
      </c>
    </row>
    <row r="548" spans="1:3" x14ac:dyDescent="0.45">
      <c r="A548" s="3">
        <v>46324</v>
      </c>
      <c r="B548">
        <f t="shared" si="8"/>
        <v>5</v>
      </c>
      <c r="C548" s="4">
        <v>19939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48"/>
  <sheetViews>
    <sheetView workbookViewId="0"/>
  </sheetViews>
  <sheetFormatPr defaultRowHeight="14.25" x14ac:dyDescent="0.45"/>
  <cols>
    <col min="1" max="1" width="12" customWidth="1"/>
    <col min="3" max="3" width="40" customWidth="1"/>
  </cols>
  <sheetData>
    <row r="1" spans="1:3" x14ac:dyDescent="0.45">
      <c r="A1" t="s">
        <v>56</v>
      </c>
      <c r="B1" t="s">
        <v>57</v>
      </c>
      <c r="C1" t="s">
        <v>58</v>
      </c>
    </row>
    <row r="2" spans="1:3" x14ac:dyDescent="0.45">
      <c r="A2" s="3">
        <v>45778</v>
      </c>
      <c r="B2">
        <f t="shared" ref="B2:B65" si="0">WEEKDAY(A2,1)</f>
        <v>5</v>
      </c>
      <c r="C2" s="4">
        <v>14727</v>
      </c>
    </row>
    <row r="3" spans="1:3" x14ac:dyDescent="0.45">
      <c r="A3" s="3">
        <v>45779</v>
      </c>
      <c r="B3">
        <f t="shared" si="0"/>
        <v>6</v>
      </c>
      <c r="C3" s="4">
        <v>15188</v>
      </c>
    </row>
    <row r="4" spans="1:3" x14ac:dyDescent="0.45">
      <c r="A4" s="3">
        <v>45780</v>
      </c>
      <c r="B4">
        <f t="shared" si="0"/>
        <v>7</v>
      </c>
      <c r="C4" s="4">
        <v>16919</v>
      </c>
    </row>
    <row r="5" spans="1:3" x14ac:dyDescent="0.45">
      <c r="A5" s="3">
        <v>45781</v>
      </c>
      <c r="B5">
        <f t="shared" si="0"/>
        <v>1</v>
      </c>
      <c r="C5" s="4">
        <v>14842</v>
      </c>
    </row>
    <row r="6" spans="1:3" x14ac:dyDescent="0.45">
      <c r="A6" s="3">
        <v>45782</v>
      </c>
      <c r="B6">
        <f t="shared" si="0"/>
        <v>2</v>
      </c>
      <c r="C6" s="4">
        <v>13822</v>
      </c>
    </row>
    <row r="7" spans="1:3" x14ac:dyDescent="0.45">
      <c r="A7" s="3">
        <v>45783</v>
      </c>
      <c r="B7">
        <f t="shared" si="0"/>
        <v>3</v>
      </c>
      <c r="C7" s="4">
        <v>14048</v>
      </c>
    </row>
    <row r="8" spans="1:3" x14ac:dyDescent="0.45">
      <c r="A8" s="3">
        <v>45784</v>
      </c>
      <c r="B8">
        <f t="shared" si="0"/>
        <v>4</v>
      </c>
      <c r="C8" s="4">
        <v>14114</v>
      </c>
    </row>
    <row r="9" spans="1:3" x14ac:dyDescent="0.45">
      <c r="A9" s="3">
        <v>45785</v>
      </c>
      <c r="B9">
        <f t="shared" si="0"/>
        <v>5</v>
      </c>
      <c r="C9" s="4">
        <v>14413</v>
      </c>
    </row>
    <row r="10" spans="1:3" x14ac:dyDescent="0.45">
      <c r="A10" s="3">
        <v>45786</v>
      </c>
      <c r="B10">
        <f t="shared" si="0"/>
        <v>6</v>
      </c>
      <c r="C10" s="4">
        <v>14931</v>
      </c>
    </row>
    <row r="11" spans="1:3" x14ac:dyDescent="0.45">
      <c r="A11" s="3">
        <v>45787</v>
      </c>
      <c r="B11">
        <f t="shared" si="0"/>
        <v>7</v>
      </c>
      <c r="C11" s="4">
        <v>16333</v>
      </c>
    </row>
    <row r="12" spans="1:3" x14ac:dyDescent="0.45">
      <c r="A12" s="3">
        <v>45788</v>
      </c>
      <c r="B12">
        <f t="shared" si="0"/>
        <v>1</v>
      </c>
      <c r="C12" s="4">
        <v>16013</v>
      </c>
    </row>
    <row r="13" spans="1:3" x14ac:dyDescent="0.45">
      <c r="A13" s="3">
        <v>45789</v>
      </c>
      <c r="B13">
        <f t="shared" si="0"/>
        <v>2</v>
      </c>
      <c r="C13" s="4">
        <v>13133</v>
      </c>
    </row>
    <row r="14" spans="1:3" x14ac:dyDescent="0.45">
      <c r="A14" s="3">
        <v>45790</v>
      </c>
      <c r="B14">
        <f t="shared" si="0"/>
        <v>3</v>
      </c>
      <c r="C14" s="4">
        <v>13490</v>
      </c>
    </row>
    <row r="15" spans="1:3" x14ac:dyDescent="0.45">
      <c r="A15" s="3">
        <v>45791</v>
      </c>
      <c r="B15">
        <f t="shared" si="0"/>
        <v>4</v>
      </c>
      <c r="C15" s="4">
        <v>14149</v>
      </c>
    </row>
    <row r="16" spans="1:3" x14ac:dyDescent="0.45">
      <c r="A16" s="3">
        <v>45792</v>
      </c>
      <c r="B16">
        <f t="shared" si="0"/>
        <v>5</v>
      </c>
      <c r="C16" s="4">
        <v>14897</v>
      </c>
    </row>
    <row r="17" spans="1:3" x14ac:dyDescent="0.45">
      <c r="A17" s="3">
        <v>45793</v>
      </c>
      <c r="B17">
        <f t="shared" si="0"/>
        <v>6</v>
      </c>
      <c r="C17" s="4">
        <v>15645</v>
      </c>
    </row>
    <row r="18" spans="1:3" x14ac:dyDescent="0.45">
      <c r="A18" s="3">
        <v>45794</v>
      </c>
      <c r="B18">
        <f t="shared" si="0"/>
        <v>7</v>
      </c>
      <c r="C18" s="4">
        <v>16382</v>
      </c>
    </row>
    <row r="19" spans="1:3" x14ac:dyDescent="0.45">
      <c r="A19" s="3">
        <v>45795</v>
      </c>
      <c r="B19">
        <f t="shared" si="0"/>
        <v>1</v>
      </c>
      <c r="C19" s="4">
        <v>15328</v>
      </c>
    </row>
    <row r="20" spans="1:3" x14ac:dyDescent="0.45">
      <c r="A20" s="3">
        <v>45796</v>
      </c>
      <c r="B20">
        <f t="shared" si="0"/>
        <v>2</v>
      </c>
      <c r="C20" s="4">
        <v>13332</v>
      </c>
    </row>
    <row r="21" spans="1:3" x14ac:dyDescent="0.45">
      <c r="A21" s="3">
        <v>45797</v>
      </c>
      <c r="B21">
        <f t="shared" si="0"/>
        <v>3</v>
      </c>
      <c r="C21" s="4">
        <v>14497</v>
      </c>
    </row>
    <row r="22" spans="1:3" x14ac:dyDescent="0.45">
      <c r="A22" s="3">
        <v>45798</v>
      </c>
      <c r="B22">
        <f t="shared" si="0"/>
        <v>4</v>
      </c>
      <c r="C22" s="4">
        <v>14389</v>
      </c>
    </row>
    <row r="23" spans="1:3" x14ac:dyDescent="0.45">
      <c r="A23" s="3">
        <v>45799</v>
      </c>
      <c r="B23">
        <f t="shared" si="0"/>
        <v>5</v>
      </c>
      <c r="C23" s="4">
        <v>14576</v>
      </c>
    </row>
    <row r="24" spans="1:3" x14ac:dyDescent="0.45">
      <c r="A24" s="3">
        <v>45800</v>
      </c>
      <c r="B24">
        <f t="shared" si="0"/>
        <v>6</v>
      </c>
      <c r="C24" s="4">
        <v>15478</v>
      </c>
    </row>
    <row r="25" spans="1:3" x14ac:dyDescent="0.45">
      <c r="A25" s="3">
        <v>45801</v>
      </c>
      <c r="B25">
        <f t="shared" si="0"/>
        <v>7</v>
      </c>
      <c r="C25" s="4">
        <v>16054</v>
      </c>
    </row>
    <row r="26" spans="1:3" x14ac:dyDescent="0.45">
      <c r="A26" s="3">
        <v>45802</v>
      </c>
      <c r="B26">
        <f t="shared" si="0"/>
        <v>1</v>
      </c>
      <c r="C26" s="4">
        <v>15581</v>
      </c>
    </row>
    <row r="27" spans="1:3" x14ac:dyDescent="0.45">
      <c r="A27" s="3">
        <v>45803</v>
      </c>
      <c r="B27">
        <f t="shared" si="0"/>
        <v>2</v>
      </c>
      <c r="C27" s="4">
        <v>13318</v>
      </c>
    </row>
    <row r="28" spans="1:3" x14ac:dyDescent="0.45">
      <c r="A28" s="3">
        <v>45804</v>
      </c>
      <c r="B28">
        <f t="shared" si="0"/>
        <v>3</v>
      </c>
      <c r="C28" s="4">
        <v>14429</v>
      </c>
    </row>
    <row r="29" spans="1:3" x14ac:dyDescent="0.45">
      <c r="A29" s="3">
        <v>45805</v>
      </c>
      <c r="B29">
        <f t="shared" si="0"/>
        <v>4</v>
      </c>
      <c r="C29" s="4">
        <v>14273</v>
      </c>
    </row>
    <row r="30" spans="1:3" x14ac:dyDescent="0.45">
      <c r="A30" s="3">
        <v>45806</v>
      </c>
      <c r="B30">
        <f t="shared" si="0"/>
        <v>5</v>
      </c>
      <c r="C30" s="4">
        <v>14837</v>
      </c>
    </row>
    <row r="31" spans="1:3" x14ac:dyDescent="0.45">
      <c r="A31" s="3">
        <v>45807</v>
      </c>
      <c r="B31">
        <f t="shared" si="0"/>
        <v>6</v>
      </c>
      <c r="C31" s="4">
        <v>15623</v>
      </c>
    </row>
    <row r="32" spans="1:3" x14ac:dyDescent="0.45">
      <c r="A32" s="3">
        <v>45808</v>
      </c>
      <c r="B32">
        <f t="shared" si="0"/>
        <v>7</v>
      </c>
      <c r="C32" s="4">
        <v>16657</v>
      </c>
    </row>
    <row r="33" spans="1:3" x14ac:dyDescent="0.45">
      <c r="A33" s="3">
        <v>45809</v>
      </c>
      <c r="B33">
        <f t="shared" si="0"/>
        <v>1</v>
      </c>
      <c r="C33" s="4">
        <v>14839</v>
      </c>
    </row>
    <row r="34" spans="1:3" x14ac:dyDescent="0.45">
      <c r="A34" s="3">
        <v>45810</v>
      </c>
      <c r="B34">
        <f t="shared" si="0"/>
        <v>2</v>
      </c>
      <c r="C34" s="4">
        <v>13989</v>
      </c>
    </row>
    <row r="35" spans="1:3" x14ac:dyDescent="0.45">
      <c r="A35" s="3">
        <v>45811</v>
      </c>
      <c r="B35">
        <f t="shared" si="0"/>
        <v>3</v>
      </c>
      <c r="C35" s="4">
        <v>13625</v>
      </c>
    </row>
    <row r="36" spans="1:3" x14ac:dyDescent="0.45">
      <c r="A36" s="3">
        <v>45812</v>
      </c>
      <c r="B36">
        <f t="shared" si="0"/>
        <v>4</v>
      </c>
      <c r="C36" s="4">
        <v>14154</v>
      </c>
    </row>
    <row r="37" spans="1:3" x14ac:dyDescent="0.45">
      <c r="A37" s="3">
        <v>45813</v>
      </c>
      <c r="B37">
        <f t="shared" si="0"/>
        <v>5</v>
      </c>
      <c r="C37" s="4">
        <v>14803</v>
      </c>
    </row>
    <row r="38" spans="1:3" x14ac:dyDescent="0.45">
      <c r="A38" s="3">
        <v>45814</v>
      </c>
      <c r="B38">
        <f t="shared" si="0"/>
        <v>6</v>
      </c>
      <c r="C38" s="4">
        <v>14802</v>
      </c>
    </row>
    <row r="39" spans="1:3" x14ac:dyDescent="0.45">
      <c r="A39" s="3">
        <v>45815</v>
      </c>
      <c r="B39">
        <f t="shared" si="0"/>
        <v>7</v>
      </c>
      <c r="C39" s="4">
        <v>16002</v>
      </c>
    </row>
    <row r="40" spans="1:3" x14ac:dyDescent="0.45">
      <c r="A40" s="3">
        <v>45816</v>
      </c>
      <c r="B40">
        <f t="shared" si="0"/>
        <v>1</v>
      </c>
      <c r="C40" s="4">
        <v>15713</v>
      </c>
    </row>
    <row r="41" spans="1:3" x14ac:dyDescent="0.45">
      <c r="A41" s="3">
        <v>45817</v>
      </c>
      <c r="B41">
        <f t="shared" si="0"/>
        <v>2</v>
      </c>
      <c r="C41" s="4">
        <v>13115</v>
      </c>
    </row>
    <row r="42" spans="1:3" x14ac:dyDescent="0.45">
      <c r="A42" s="3">
        <v>45818</v>
      </c>
      <c r="B42">
        <f t="shared" si="0"/>
        <v>3</v>
      </c>
      <c r="C42" s="4">
        <v>13970</v>
      </c>
    </row>
    <row r="43" spans="1:3" x14ac:dyDescent="0.45">
      <c r="A43" s="3">
        <v>45819</v>
      </c>
      <c r="B43">
        <f t="shared" si="0"/>
        <v>4</v>
      </c>
      <c r="C43" s="4">
        <v>13941</v>
      </c>
    </row>
    <row r="44" spans="1:3" x14ac:dyDescent="0.45">
      <c r="A44" s="3">
        <v>45820</v>
      </c>
      <c r="B44">
        <f t="shared" si="0"/>
        <v>5</v>
      </c>
      <c r="C44" s="4">
        <v>15227</v>
      </c>
    </row>
    <row r="45" spans="1:3" x14ac:dyDescent="0.45">
      <c r="A45" s="3">
        <v>45821</v>
      </c>
      <c r="B45">
        <f t="shared" si="0"/>
        <v>6</v>
      </c>
      <c r="C45" s="4">
        <v>15045</v>
      </c>
    </row>
    <row r="46" spans="1:3" x14ac:dyDescent="0.45">
      <c r="A46" s="3">
        <v>45822</v>
      </c>
      <c r="B46">
        <f t="shared" si="0"/>
        <v>7</v>
      </c>
      <c r="C46" s="4">
        <v>16618</v>
      </c>
    </row>
    <row r="47" spans="1:3" x14ac:dyDescent="0.45">
      <c r="A47" s="3">
        <v>45823</v>
      </c>
      <c r="B47">
        <f t="shared" si="0"/>
        <v>1</v>
      </c>
      <c r="C47" s="4">
        <v>15971</v>
      </c>
    </row>
    <row r="48" spans="1:3" x14ac:dyDescent="0.45">
      <c r="A48" s="3">
        <v>45824</v>
      </c>
      <c r="B48">
        <f t="shared" si="0"/>
        <v>2</v>
      </c>
      <c r="C48" s="4">
        <v>13269</v>
      </c>
    </row>
    <row r="49" spans="1:3" x14ac:dyDescent="0.45">
      <c r="A49" s="3">
        <v>45825</v>
      </c>
      <c r="B49">
        <f t="shared" si="0"/>
        <v>3</v>
      </c>
      <c r="C49" s="4">
        <v>13536</v>
      </c>
    </row>
    <row r="50" spans="1:3" x14ac:dyDescent="0.45">
      <c r="A50" s="3">
        <v>45826</v>
      </c>
      <c r="B50">
        <f t="shared" si="0"/>
        <v>4</v>
      </c>
      <c r="C50" s="4">
        <v>14718</v>
      </c>
    </row>
    <row r="51" spans="1:3" x14ac:dyDescent="0.45">
      <c r="A51" s="3">
        <v>45827</v>
      </c>
      <c r="B51">
        <f t="shared" si="0"/>
        <v>5</v>
      </c>
      <c r="C51" s="4">
        <v>15245</v>
      </c>
    </row>
    <row r="52" spans="1:3" x14ac:dyDescent="0.45">
      <c r="A52" s="3">
        <v>45828</v>
      </c>
      <c r="B52">
        <f t="shared" si="0"/>
        <v>6</v>
      </c>
      <c r="C52" s="4">
        <v>14663</v>
      </c>
    </row>
    <row r="53" spans="1:3" x14ac:dyDescent="0.45">
      <c r="A53" s="3">
        <v>45829</v>
      </c>
      <c r="B53">
        <f t="shared" si="0"/>
        <v>7</v>
      </c>
      <c r="C53" s="4">
        <v>17168</v>
      </c>
    </row>
    <row r="54" spans="1:3" x14ac:dyDescent="0.45">
      <c r="A54" s="3">
        <v>45830</v>
      </c>
      <c r="B54">
        <f t="shared" si="0"/>
        <v>1</v>
      </c>
      <c r="C54" s="4">
        <v>14991</v>
      </c>
    </row>
    <row r="55" spans="1:3" x14ac:dyDescent="0.45">
      <c r="A55" s="3">
        <v>45831</v>
      </c>
      <c r="B55">
        <f t="shared" si="0"/>
        <v>2</v>
      </c>
      <c r="C55" s="4">
        <v>13494</v>
      </c>
    </row>
    <row r="56" spans="1:3" x14ac:dyDescent="0.45">
      <c r="A56" s="3">
        <v>45832</v>
      </c>
      <c r="B56">
        <f t="shared" si="0"/>
        <v>3</v>
      </c>
      <c r="C56" s="4">
        <v>13750</v>
      </c>
    </row>
    <row r="57" spans="1:3" x14ac:dyDescent="0.45">
      <c r="A57" s="3">
        <v>45833</v>
      </c>
      <c r="B57">
        <f t="shared" si="0"/>
        <v>4</v>
      </c>
      <c r="C57" s="4">
        <v>14132</v>
      </c>
    </row>
    <row r="58" spans="1:3" x14ac:dyDescent="0.45">
      <c r="A58" s="3">
        <v>45834</v>
      </c>
      <c r="B58">
        <f t="shared" si="0"/>
        <v>5</v>
      </c>
      <c r="C58" s="4">
        <v>14530</v>
      </c>
    </row>
    <row r="59" spans="1:3" x14ac:dyDescent="0.45">
      <c r="A59" s="3">
        <v>45835</v>
      </c>
      <c r="B59">
        <f t="shared" si="0"/>
        <v>6</v>
      </c>
      <c r="C59" s="4">
        <v>15617</v>
      </c>
    </row>
    <row r="60" spans="1:3" x14ac:dyDescent="0.45">
      <c r="A60" s="3">
        <v>45836</v>
      </c>
      <c r="B60">
        <f t="shared" si="0"/>
        <v>7</v>
      </c>
      <c r="C60" s="4">
        <v>16644</v>
      </c>
    </row>
    <row r="61" spans="1:3" x14ac:dyDescent="0.45">
      <c r="A61" s="3">
        <v>45837</v>
      </c>
      <c r="B61">
        <f t="shared" si="0"/>
        <v>1</v>
      </c>
      <c r="C61" s="4">
        <v>15188</v>
      </c>
    </row>
    <row r="62" spans="1:3" x14ac:dyDescent="0.45">
      <c r="A62" s="3">
        <v>45838</v>
      </c>
      <c r="B62">
        <f t="shared" si="0"/>
        <v>2</v>
      </c>
      <c r="C62" s="4">
        <v>13936</v>
      </c>
    </row>
    <row r="63" spans="1:3" x14ac:dyDescent="0.45">
      <c r="A63" s="3">
        <v>45839</v>
      </c>
      <c r="B63">
        <f t="shared" si="0"/>
        <v>3</v>
      </c>
      <c r="C63" s="4">
        <v>14042</v>
      </c>
    </row>
    <row r="64" spans="1:3" x14ac:dyDescent="0.45">
      <c r="A64" s="3">
        <v>45840</v>
      </c>
      <c r="B64">
        <f t="shared" si="0"/>
        <v>4</v>
      </c>
      <c r="C64" s="4">
        <v>14116</v>
      </c>
    </row>
    <row r="65" spans="1:3" x14ac:dyDescent="0.45">
      <c r="A65" s="3">
        <v>45841</v>
      </c>
      <c r="B65">
        <f t="shared" si="0"/>
        <v>5</v>
      </c>
      <c r="C65" s="4">
        <v>14804</v>
      </c>
    </row>
    <row r="66" spans="1:3" x14ac:dyDescent="0.45">
      <c r="A66" s="3">
        <v>45842</v>
      </c>
      <c r="B66">
        <f t="shared" ref="B66:B129" si="1">WEEKDAY(A66,1)</f>
        <v>6</v>
      </c>
      <c r="C66" s="4">
        <v>14918</v>
      </c>
    </row>
    <row r="67" spans="1:3" x14ac:dyDescent="0.45">
      <c r="A67" s="3">
        <v>45843</v>
      </c>
      <c r="B67">
        <f t="shared" si="1"/>
        <v>7</v>
      </c>
      <c r="C67" s="4">
        <v>17110</v>
      </c>
    </row>
    <row r="68" spans="1:3" x14ac:dyDescent="0.45">
      <c r="A68" s="3">
        <v>45844</v>
      </c>
      <c r="B68">
        <f t="shared" si="1"/>
        <v>1</v>
      </c>
      <c r="C68" s="4">
        <v>15907</v>
      </c>
    </row>
    <row r="69" spans="1:3" x14ac:dyDescent="0.45">
      <c r="A69" s="3">
        <v>45845</v>
      </c>
      <c r="B69">
        <f t="shared" si="1"/>
        <v>2</v>
      </c>
      <c r="C69" s="4">
        <v>13741</v>
      </c>
    </row>
    <row r="70" spans="1:3" x14ac:dyDescent="0.45">
      <c r="A70" s="3">
        <v>45846</v>
      </c>
      <c r="B70">
        <f t="shared" si="1"/>
        <v>3</v>
      </c>
      <c r="C70" s="4">
        <v>13557</v>
      </c>
    </row>
    <row r="71" spans="1:3" x14ac:dyDescent="0.45">
      <c r="A71" s="3">
        <v>45847</v>
      </c>
      <c r="B71">
        <f t="shared" si="1"/>
        <v>4</v>
      </c>
      <c r="C71" s="4">
        <v>14999</v>
      </c>
    </row>
    <row r="72" spans="1:3" x14ac:dyDescent="0.45">
      <c r="A72" s="3">
        <v>45848</v>
      </c>
      <c r="B72">
        <f t="shared" si="1"/>
        <v>5</v>
      </c>
      <c r="C72" s="4">
        <v>15008</v>
      </c>
    </row>
    <row r="73" spans="1:3" x14ac:dyDescent="0.45">
      <c r="A73" s="3">
        <v>45849</v>
      </c>
      <c r="B73">
        <f t="shared" si="1"/>
        <v>6</v>
      </c>
      <c r="C73" s="4">
        <v>15622</v>
      </c>
    </row>
    <row r="74" spans="1:3" x14ac:dyDescent="0.45">
      <c r="A74" s="3">
        <v>45850</v>
      </c>
      <c r="B74">
        <f t="shared" si="1"/>
        <v>7</v>
      </c>
      <c r="C74" s="4">
        <v>16505</v>
      </c>
    </row>
    <row r="75" spans="1:3" x14ac:dyDescent="0.45">
      <c r="A75" s="3">
        <v>45851</v>
      </c>
      <c r="B75">
        <f t="shared" si="1"/>
        <v>1</v>
      </c>
      <c r="C75" s="4">
        <v>15077</v>
      </c>
    </row>
    <row r="76" spans="1:3" x14ac:dyDescent="0.45">
      <c r="A76" s="3">
        <v>45852</v>
      </c>
      <c r="B76">
        <f t="shared" si="1"/>
        <v>2</v>
      </c>
      <c r="C76" s="4">
        <v>13943</v>
      </c>
    </row>
    <row r="77" spans="1:3" x14ac:dyDescent="0.45">
      <c r="A77" s="3">
        <v>45853</v>
      </c>
      <c r="B77">
        <f t="shared" si="1"/>
        <v>3</v>
      </c>
      <c r="C77" s="4">
        <v>13521</v>
      </c>
    </row>
    <row r="78" spans="1:3" x14ac:dyDescent="0.45">
      <c r="A78" s="3">
        <v>45854</v>
      </c>
      <c r="B78">
        <f t="shared" si="1"/>
        <v>4</v>
      </c>
      <c r="C78" s="4">
        <v>14868</v>
      </c>
    </row>
    <row r="79" spans="1:3" x14ac:dyDescent="0.45">
      <c r="A79" s="3">
        <v>45855</v>
      </c>
      <c r="B79">
        <f t="shared" si="1"/>
        <v>5</v>
      </c>
      <c r="C79" s="4">
        <v>15016</v>
      </c>
    </row>
    <row r="80" spans="1:3" x14ac:dyDescent="0.45">
      <c r="A80" s="3">
        <v>45856</v>
      </c>
      <c r="B80">
        <f t="shared" si="1"/>
        <v>6</v>
      </c>
      <c r="C80" s="4">
        <v>15055</v>
      </c>
    </row>
    <row r="81" spans="1:3" x14ac:dyDescent="0.45">
      <c r="A81" s="3">
        <v>45857</v>
      </c>
      <c r="B81">
        <f t="shared" si="1"/>
        <v>7</v>
      </c>
      <c r="C81" s="4">
        <v>16954</v>
      </c>
    </row>
    <row r="82" spans="1:3" x14ac:dyDescent="0.45">
      <c r="A82" s="3">
        <v>45858</v>
      </c>
      <c r="B82">
        <f t="shared" si="1"/>
        <v>1</v>
      </c>
      <c r="C82" s="4">
        <v>16103</v>
      </c>
    </row>
    <row r="83" spans="1:3" x14ac:dyDescent="0.45">
      <c r="A83" s="3">
        <v>45859</v>
      </c>
      <c r="B83">
        <f t="shared" si="1"/>
        <v>2</v>
      </c>
      <c r="C83" s="4">
        <v>14037</v>
      </c>
    </row>
    <row r="84" spans="1:3" x14ac:dyDescent="0.45">
      <c r="A84" s="3">
        <v>45860</v>
      </c>
      <c r="B84">
        <f t="shared" si="1"/>
        <v>3</v>
      </c>
      <c r="C84" s="4">
        <v>13889</v>
      </c>
    </row>
    <row r="85" spans="1:3" x14ac:dyDescent="0.45">
      <c r="A85" s="3">
        <v>45861</v>
      </c>
      <c r="B85">
        <f t="shared" si="1"/>
        <v>4</v>
      </c>
      <c r="C85" s="4">
        <v>14280</v>
      </c>
    </row>
    <row r="86" spans="1:3" x14ac:dyDescent="0.45">
      <c r="A86" s="3">
        <v>45862</v>
      </c>
      <c r="B86">
        <f t="shared" si="1"/>
        <v>5</v>
      </c>
      <c r="C86" s="4">
        <v>15029</v>
      </c>
    </row>
    <row r="87" spans="1:3" x14ac:dyDescent="0.45">
      <c r="A87" s="3">
        <v>45863</v>
      </c>
      <c r="B87">
        <f t="shared" si="1"/>
        <v>6</v>
      </c>
      <c r="C87" s="4">
        <v>15084</v>
      </c>
    </row>
    <row r="88" spans="1:3" x14ac:dyDescent="0.45">
      <c r="A88" s="3">
        <v>45864</v>
      </c>
      <c r="B88">
        <f t="shared" si="1"/>
        <v>7</v>
      </c>
      <c r="C88" s="4">
        <v>16150</v>
      </c>
    </row>
    <row r="89" spans="1:3" x14ac:dyDescent="0.45">
      <c r="A89" s="3">
        <v>45865</v>
      </c>
      <c r="B89">
        <f t="shared" si="1"/>
        <v>1</v>
      </c>
      <c r="C89" s="4">
        <v>14992</v>
      </c>
    </row>
    <row r="90" spans="1:3" x14ac:dyDescent="0.45">
      <c r="A90" s="3">
        <v>45866</v>
      </c>
      <c r="B90">
        <f t="shared" si="1"/>
        <v>2</v>
      </c>
      <c r="C90" s="4">
        <v>13155</v>
      </c>
    </row>
    <row r="91" spans="1:3" x14ac:dyDescent="0.45">
      <c r="A91" s="3">
        <v>45867</v>
      </c>
      <c r="B91">
        <f t="shared" si="1"/>
        <v>3</v>
      </c>
      <c r="C91" s="4">
        <v>14321</v>
      </c>
    </row>
    <row r="92" spans="1:3" x14ac:dyDescent="0.45">
      <c r="A92" s="3">
        <v>45868</v>
      </c>
      <c r="B92">
        <f t="shared" si="1"/>
        <v>4</v>
      </c>
      <c r="C92" s="4">
        <v>14397</v>
      </c>
    </row>
    <row r="93" spans="1:3" x14ac:dyDescent="0.45">
      <c r="A93" s="3">
        <v>45869</v>
      </c>
      <c r="B93">
        <f t="shared" si="1"/>
        <v>5</v>
      </c>
      <c r="C93" s="4">
        <v>15099</v>
      </c>
    </row>
    <row r="94" spans="1:3" x14ac:dyDescent="0.45">
      <c r="A94" s="3">
        <v>45870</v>
      </c>
      <c r="B94">
        <f t="shared" si="1"/>
        <v>6</v>
      </c>
      <c r="C94" s="4">
        <v>15721</v>
      </c>
    </row>
    <row r="95" spans="1:3" x14ac:dyDescent="0.45">
      <c r="A95" s="3">
        <v>45871</v>
      </c>
      <c r="B95">
        <f t="shared" si="1"/>
        <v>7</v>
      </c>
      <c r="C95" s="4">
        <v>16395</v>
      </c>
    </row>
    <row r="96" spans="1:3" x14ac:dyDescent="0.45">
      <c r="A96" s="3">
        <v>45872</v>
      </c>
      <c r="B96">
        <f t="shared" si="1"/>
        <v>1</v>
      </c>
      <c r="C96" s="4">
        <v>15217</v>
      </c>
    </row>
    <row r="97" spans="1:3" x14ac:dyDescent="0.45">
      <c r="A97" s="3">
        <v>45873</v>
      </c>
      <c r="B97">
        <f t="shared" si="1"/>
        <v>2</v>
      </c>
      <c r="C97" s="4">
        <v>13611</v>
      </c>
    </row>
    <row r="98" spans="1:3" x14ac:dyDescent="0.45">
      <c r="A98" s="3">
        <v>45874</v>
      </c>
      <c r="B98">
        <f t="shared" si="1"/>
        <v>3</v>
      </c>
      <c r="C98" s="4">
        <v>14616</v>
      </c>
    </row>
    <row r="99" spans="1:3" x14ac:dyDescent="0.45">
      <c r="A99" s="3">
        <v>45875</v>
      </c>
      <c r="B99">
        <f t="shared" si="1"/>
        <v>4</v>
      </c>
      <c r="C99" s="4">
        <v>14981</v>
      </c>
    </row>
    <row r="100" spans="1:3" x14ac:dyDescent="0.45">
      <c r="A100" s="3">
        <v>45876</v>
      </c>
      <c r="B100">
        <f t="shared" si="1"/>
        <v>5</v>
      </c>
      <c r="C100" s="4">
        <v>15141</v>
      </c>
    </row>
    <row r="101" spans="1:3" x14ac:dyDescent="0.45">
      <c r="A101" s="3">
        <v>45877</v>
      </c>
      <c r="B101">
        <f t="shared" si="1"/>
        <v>6</v>
      </c>
      <c r="C101" s="4">
        <v>15800</v>
      </c>
    </row>
    <row r="102" spans="1:3" x14ac:dyDescent="0.45">
      <c r="A102" s="3">
        <v>45878</v>
      </c>
      <c r="B102">
        <f t="shared" si="1"/>
        <v>7</v>
      </c>
      <c r="C102" s="4">
        <v>16274</v>
      </c>
    </row>
    <row r="103" spans="1:3" x14ac:dyDescent="0.45">
      <c r="A103" s="3">
        <v>45879</v>
      </c>
      <c r="B103">
        <f t="shared" si="1"/>
        <v>1</v>
      </c>
      <c r="C103" s="4">
        <v>15156</v>
      </c>
    </row>
    <row r="104" spans="1:3" x14ac:dyDescent="0.45">
      <c r="A104" s="3">
        <v>45880</v>
      </c>
      <c r="B104">
        <f t="shared" si="1"/>
        <v>2</v>
      </c>
      <c r="C104" s="4">
        <v>13451</v>
      </c>
    </row>
    <row r="105" spans="1:3" x14ac:dyDescent="0.45">
      <c r="A105" s="3">
        <v>45881</v>
      </c>
      <c r="B105">
        <f t="shared" si="1"/>
        <v>3</v>
      </c>
      <c r="C105" s="4">
        <v>13552</v>
      </c>
    </row>
    <row r="106" spans="1:3" x14ac:dyDescent="0.45">
      <c r="A106" s="3">
        <v>45882</v>
      </c>
      <c r="B106">
        <f t="shared" si="1"/>
        <v>4</v>
      </c>
      <c r="C106" s="4">
        <v>14306</v>
      </c>
    </row>
    <row r="107" spans="1:3" x14ac:dyDescent="0.45">
      <c r="A107" s="3">
        <v>45883</v>
      </c>
      <c r="B107">
        <f t="shared" si="1"/>
        <v>5</v>
      </c>
      <c r="C107" s="4">
        <v>15404</v>
      </c>
    </row>
    <row r="108" spans="1:3" x14ac:dyDescent="0.45">
      <c r="A108" s="3">
        <v>45884</v>
      </c>
      <c r="B108">
        <f t="shared" si="1"/>
        <v>6</v>
      </c>
      <c r="C108" s="4">
        <v>15820</v>
      </c>
    </row>
    <row r="109" spans="1:3" x14ac:dyDescent="0.45">
      <c r="A109" s="3">
        <v>45885</v>
      </c>
      <c r="B109">
        <f t="shared" si="1"/>
        <v>7</v>
      </c>
      <c r="C109" s="4">
        <v>17180</v>
      </c>
    </row>
    <row r="110" spans="1:3" x14ac:dyDescent="0.45">
      <c r="A110" s="3">
        <v>45886</v>
      </c>
      <c r="B110">
        <f t="shared" si="1"/>
        <v>1</v>
      </c>
      <c r="C110" s="4">
        <v>15094</v>
      </c>
    </row>
    <row r="111" spans="1:3" x14ac:dyDescent="0.45">
      <c r="A111" s="3">
        <v>45887</v>
      </c>
      <c r="B111">
        <f t="shared" si="1"/>
        <v>2</v>
      </c>
      <c r="C111" s="4">
        <v>13230</v>
      </c>
    </row>
    <row r="112" spans="1:3" x14ac:dyDescent="0.45">
      <c r="A112" s="3">
        <v>45888</v>
      </c>
      <c r="B112">
        <f t="shared" si="1"/>
        <v>3</v>
      </c>
      <c r="C112" s="4">
        <v>13686</v>
      </c>
    </row>
    <row r="113" spans="1:3" x14ac:dyDescent="0.45">
      <c r="A113" s="3">
        <v>45889</v>
      </c>
      <c r="B113">
        <f t="shared" si="1"/>
        <v>4</v>
      </c>
      <c r="C113" s="4">
        <v>14147</v>
      </c>
    </row>
    <row r="114" spans="1:3" x14ac:dyDescent="0.45">
      <c r="A114" s="3">
        <v>45890</v>
      </c>
      <c r="B114">
        <f t="shared" si="1"/>
        <v>5</v>
      </c>
      <c r="C114" s="4">
        <v>14288</v>
      </c>
    </row>
    <row r="115" spans="1:3" x14ac:dyDescent="0.45">
      <c r="A115" s="3">
        <v>45891</v>
      </c>
      <c r="B115">
        <f t="shared" si="1"/>
        <v>6</v>
      </c>
      <c r="C115" s="4">
        <v>14703</v>
      </c>
    </row>
    <row r="116" spans="1:3" x14ac:dyDescent="0.45">
      <c r="A116" s="3">
        <v>45892</v>
      </c>
      <c r="B116">
        <f t="shared" si="1"/>
        <v>7</v>
      </c>
      <c r="C116" s="4">
        <v>16662</v>
      </c>
    </row>
    <row r="117" spans="1:3" x14ac:dyDescent="0.45">
      <c r="A117" s="3">
        <v>45893</v>
      </c>
      <c r="B117">
        <f t="shared" si="1"/>
        <v>1</v>
      </c>
      <c r="C117" s="4">
        <v>15314</v>
      </c>
    </row>
    <row r="118" spans="1:3" x14ac:dyDescent="0.45">
      <c r="A118" s="3">
        <v>45894</v>
      </c>
      <c r="B118">
        <f t="shared" si="1"/>
        <v>2</v>
      </c>
      <c r="C118" s="4">
        <v>13207</v>
      </c>
    </row>
    <row r="119" spans="1:3" x14ac:dyDescent="0.45">
      <c r="A119" s="3">
        <v>45895</v>
      </c>
      <c r="B119">
        <f t="shared" si="1"/>
        <v>3</v>
      </c>
      <c r="C119" s="4">
        <v>14397</v>
      </c>
    </row>
    <row r="120" spans="1:3" x14ac:dyDescent="0.45">
      <c r="A120" s="3">
        <v>45896</v>
      </c>
      <c r="B120">
        <f t="shared" si="1"/>
        <v>4</v>
      </c>
      <c r="C120" s="4">
        <v>15035</v>
      </c>
    </row>
    <row r="121" spans="1:3" x14ac:dyDescent="0.45">
      <c r="A121" s="3">
        <v>45897</v>
      </c>
      <c r="B121">
        <f t="shared" si="1"/>
        <v>5</v>
      </c>
      <c r="C121" s="4">
        <v>14316</v>
      </c>
    </row>
    <row r="122" spans="1:3" x14ac:dyDescent="0.45">
      <c r="A122" s="3">
        <v>45898</v>
      </c>
      <c r="B122">
        <f t="shared" si="1"/>
        <v>6</v>
      </c>
      <c r="C122" s="4">
        <v>15451</v>
      </c>
    </row>
    <row r="123" spans="1:3" x14ac:dyDescent="0.45">
      <c r="A123" s="3">
        <v>45899</v>
      </c>
      <c r="B123">
        <f t="shared" si="1"/>
        <v>7</v>
      </c>
      <c r="C123" s="4">
        <v>16783</v>
      </c>
    </row>
    <row r="124" spans="1:3" x14ac:dyDescent="0.45">
      <c r="A124" s="3">
        <v>45900</v>
      </c>
      <c r="B124">
        <f t="shared" si="1"/>
        <v>1</v>
      </c>
      <c r="C124" s="4">
        <v>15122</v>
      </c>
    </row>
    <row r="125" spans="1:3" x14ac:dyDescent="0.45">
      <c r="A125" s="3">
        <v>45901</v>
      </c>
      <c r="B125">
        <f t="shared" si="1"/>
        <v>2</v>
      </c>
      <c r="C125" s="4">
        <v>13704</v>
      </c>
    </row>
    <row r="126" spans="1:3" x14ac:dyDescent="0.45">
      <c r="A126" s="3">
        <v>45902</v>
      </c>
      <c r="B126">
        <f t="shared" si="1"/>
        <v>3</v>
      </c>
      <c r="C126" s="4">
        <v>13785</v>
      </c>
    </row>
    <row r="127" spans="1:3" x14ac:dyDescent="0.45">
      <c r="A127" s="3">
        <v>45903</v>
      </c>
      <c r="B127">
        <f t="shared" si="1"/>
        <v>4</v>
      </c>
      <c r="C127" s="4">
        <v>14426</v>
      </c>
    </row>
    <row r="128" spans="1:3" x14ac:dyDescent="0.45">
      <c r="A128" s="3">
        <v>45904</v>
      </c>
      <c r="B128">
        <f t="shared" si="1"/>
        <v>5</v>
      </c>
      <c r="C128" s="4">
        <v>15113</v>
      </c>
    </row>
    <row r="129" spans="1:3" x14ac:dyDescent="0.45">
      <c r="A129" s="3">
        <v>45905</v>
      </c>
      <c r="B129">
        <f t="shared" si="1"/>
        <v>6</v>
      </c>
      <c r="C129" s="4">
        <v>15760</v>
      </c>
    </row>
    <row r="130" spans="1:3" x14ac:dyDescent="0.45">
      <c r="A130" s="3">
        <v>45906</v>
      </c>
      <c r="B130">
        <f t="shared" ref="B130:B193" si="2">WEEKDAY(A130,1)</f>
        <v>7</v>
      </c>
      <c r="C130" s="4">
        <v>16226</v>
      </c>
    </row>
    <row r="131" spans="1:3" x14ac:dyDescent="0.45">
      <c r="A131" s="3">
        <v>45907</v>
      </c>
      <c r="B131">
        <f t="shared" si="2"/>
        <v>1</v>
      </c>
      <c r="C131" s="4">
        <v>15678</v>
      </c>
    </row>
    <row r="132" spans="1:3" x14ac:dyDescent="0.45">
      <c r="A132" s="3">
        <v>45908</v>
      </c>
      <c r="B132">
        <f t="shared" si="2"/>
        <v>2</v>
      </c>
      <c r="C132" s="4">
        <v>13350</v>
      </c>
    </row>
    <row r="133" spans="1:3" x14ac:dyDescent="0.45">
      <c r="A133" s="3">
        <v>45909</v>
      </c>
      <c r="B133">
        <f t="shared" si="2"/>
        <v>3</v>
      </c>
      <c r="C133" s="4">
        <v>14376</v>
      </c>
    </row>
    <row r="134" spans="1:3" x14ac:dyDescent="0.45">
      <c r="A134" s="3">
        <v>45910</v>
      </c>
      <c r="B134">
        <f t="shared" si="2"/>
        <v>4</v>
      </c>
      <c r="C134" s="4">
        <v>14985</v>
      </c>
    </row>
    <row r="135" spans="1:3" x14ac:dyDescent="0.45">
      <c r="A135" s="3">
        <v>45911</v>
      </c>
      <c r="B135">
        <f t="shared" si="2"/>
        <v>5</v>
      </c>
      <c r="C135" s="4">
        <v>14579</v>
      </c>
    </row>
    <row r="136" spans="1:3" x14ac:dyDescent="0.45">
      <c r="A136" s="3">
        <v>45912</v>
      </c>
      <c r="B136">
        <f t="shared" si="2"/>
        <v>6</v>
      </c>
      <c r="C136" s="4">
        <v>15691</v>
      </c>
    </row>
    <row r="137" spans="1:3" x14ac:dyDescent="0.45">
      <c r="A137" s="3">
        <v>45913</v>
      </c>
      <c r="B137">
        <f t="shared" si="2"/>
        <v>7</v>
      </c>
      <c r="C137" s="4">
        <v>17147</v>
      </c>
    </row>
    <row r="138" spans="1:3" x14ac:dyDescent="0.45">
      <c r="A138" s="3">
        <v>45914</v>
      </c>
      <c r="B138">
        <f t="shared" si="2"/>
        <v>1</v>
      </c>
      <c r="C138" s="4">
        <v>15764</v>
      </c>
    </row>
    <row r="139" spans="1:3" x14ac:dyDescent="0.45">
      <c r="A139" s="3">
        <v>45915</v>
      </c>
      <c r="B139">
        <f t="shared" si="2"/>
        <v>2</v>
      </c>
      <c r="C139" s="4">
        <v>13300</v>
      </c>
    </row>
    <row r="140" spans="1:3" x14ac:dyDescent="0.45">
      <c r="A140" s="3">
        <v>45916</v>
      </c>
      <c r="B140">
        <f t="shared" si="2"/>
        <v>3</v>
      </c>
      <c r="C140" s="4">
        <v>13832</v>
      </c>
    </row>
    <row r="141" spans="1:3" x14ac:dyDescent="0.45">
      <c r="A141" s="3">
        <v>45917</v>
      </c>
      <c r="B141">
        <f t="shared" si="2"/>
        <v>4</v>
      </c>
      <c r="C141" s="4">
        <v>14088</v>
      </c>
    </row>
    <row r="142" spans="1:3" x14ac:dyDescent="0.45">
      <c r="A142" s="3">
        <v>45918</v>
      </c>
      <c r="B142">
        <f t="shared" si="2"/>
        <v>5</v>
      </c>
      <c r="C142" s="4">
        <v>15291</v>
      </c>
    </row>
    <row r="143" spans="1:3" x14ac:dyDescent="0.45">
      <c r="A143" s="3">
        <v>45919</v>
      </c>
      <c r="B143">
        <f t="shared" si="2"/>
        <v>6</v>
      </c>
      <c r="C143" s="4">
        <v>15535</v>
      </c>
    </row>
    <row r="144" spans="1:3" x14ac:dyDescent="0.45">
      <c r="A144" s="3">
        <v>45920</v>
      </c>
      <c r="B144">
        <f t="shared" si="2"/>
        <v>7</v>
      </c>
      <c r="C144" s="4">
        <v>17229</v>
      </c>
    </row>
    <row r="145" spans="1:3" x14ac:dyDescent="0.45">
      <c r="A145" s="3">
        <v>45921</v>
      </c>
      <c r="B145">
        <f t="shared" si="2"/>
        <v>1</v>
      </c>
      <c r="C145" s="4">
        <v>15069</v>
      </c>
    </row>
    <row r="146" spans="1:3" x14ac:dyDescent="0.45">
      <c r="A146" s="3">
        <v>45922</v>
      </c>
      <c r="B146">
        <f t="shared" si="2"/>
        <v>2</v>
      </c>
      <c r="C146" s="4">
        <v>13445</v>
      </c>
    </row>
    <row r="147" spans="1:3" x14ac:dyDescent="0.45">
      <c r="A147" s="3">
        <v>45923</v>
      </c>
      <c r="B147">
        <f t="shared" si="2"/>
        <v>3</v>
      </c>
      <c r="C147" s="4">
        <v>14487</v>
      </c>
    </row>
    <row r="148" spans="1:3" x14ac:dyDescent="0.45">
      <c r="A148" s="3">
        <v>45924</v>
      </c>
      <c r="B148">
        <f t="shared" si="2"/>
        <v>4</v>
      </c>
      <c r="C148" s="4">
        <v>14329</v>
      </c>
    </row>
    <row r="149" spans="1:3" x14ac:dyDescent="0.45">
      <c r="A149" s="3">
        <v>45925</v>
      </c>
      <c r="B149">
        <f t="shared" si="2"/>
        <v>5</v>
      </c>
      <c r="C149" s="4">
        <v>14330</v>
      </c>
    </row>
    <row r="150" spans="1:3" x14ac:dyDescent="0.45">
      <c r="A150" s="3">
        <v>45926</v>
      </c>
      <c r="B150">
        <f t="shared" si="2"/>
        <v>6</v>
      </c>
      <c r="C150" s="4">
        <v>15462</v>
      </c>
    </row>
    <row r="151" spans="1:3" x14ac:dyDescent="0.45">
      <c r="A151" s="3">
        <v>45927</v>
      </c>
      <c r="B151">
        <f t="shared" si="2"/>
        <v>7</v>
      </c>
      <c r="C151" s="4">
        <v>16614</v>
      </c>
    </row>
    <row r="152" spans="1:3" x14ac:dyDescent="0.45">
      <c r="A152" s="3">
        <v>45928</v>
      </c>
      <c r="B152">
        <f t="shared" si="2"/>
        <v>1</v>
      </c>
      <c r="C152" s="4">
        <v>15450</v>
      </c>
    </row>
    <row r="153" spans="1:3" x14ac:dyDescent="0.45">
      <c r="A153" s="3">
        <v>45929</v>
      </c>
      <c r="B153">
        <f t="shared" si="2"/>
        <v>2</v>
      </c>
      <c r="C153" s="4">
        <v>13532</v>
      </c>
    </row>
    <row r="154" spans="1:3" x14ac:dyDescent="0.45">
      <c r="A154" s="3">
        <v>45930</v>
      </c>
      <c r="B154">
        <f t="shared" si="2"/>
        <v>3</v>
      </c>
      <c r="C154" s="4">
        <v>14371</v>
      </c>
    </row>
    <row r="155" spans="1:3" x14ac:dyDescent="0.45">
      <c r="A155" s="3">
        <v>45931</v>
      </c>
      <c r="B155">
        <f t="shared" si="2"/>
        <v>4</v>
      </c>
      <c r="C155" s="4">
        <v>14190</v>
      </c>
    </row>
    <row r="156" spans="1:3" x14ac:dyDescent="0.45">
      <c r="A156" s="3">
        <v>45932</v>
      </c>
      <c r="B156">
        <f t="shared" si="2"/>
        <v>5</v>
      </c>
      <c r="C156" s="4">
        <v>15110</v>
      </c>
    </row>
    <row r="157" spans="1:3" x14ac:dyDescent="0.45">
      <c r="A157" s="3">
        <v>45933</v>
      </c>
      <c r="B157">
        <f t="shared" si="2"/>
        <v>6</v>
      </c>
      <c r="C157" s="4">
        <v>15895</v>
      </c>
    </row>
    <row r="158" spans="1:3" x14ac:dyDescent="0.45">
      <c r="A158" s="3">
        <v>45934</v>
      </c>
      <c r="B158">
        <f t="shared" si="2"/>
        <v>7</v>
      </c>
      <c r="C158" s="4">
        <v>16796</v>
      </c>
    </row>
    <row r="159" spans="1:3" x14ac:dyDescent="0.45">
      <c r="A159" s="3">
        <v>45935</v>
      </c>
      <c r="B159">
        <f t="shared" si="2"/>
        <v>1</v>
      </c>
      <c r="C159" s="4">
        <v>15421</v>
      </c>
    </row>
    <row r="160" spans="1:3" x14ac:dyDescent="0.45">
      <c r="A160" s="3">
        <v>45936</v>
      </c>
      <c r="B160">
        <f t="shared" si="2"/>
        <v>2</v>
      </c>
      <c r="C160" s="4">
        <v>13320</v>
      </c>
    </row>
    <row r="161" spans="1:3" x14ac:dyDescent="0.45">
      <c r="A161" s="3">
        <v>45937</v>
      </c>
      <c r="B161">
        <f t="shared" si="2"/>
        <v>3</v>
      </c>
      <c r="C161" s="4">
        <v>14688</v>
      </c>
    </row>
    <row r="162" spans="1:3" x14ac:dyDescent="0.45">
      <c r="A162" s="3">
        <v>45938</v>
      </c>
      <c r="B162">
        <f t="shared" si="2"/>
        <v>4</v>
      </c>
      <c r="C162" s="4">
        <v>14842</v>
      </c>
    </row>
    <row r="163" spans="1:3" x14ac:dyDescent="0.45">
      <c r="A163" s="3">
        <v>45939</v>
      </c>
      <c r="B163">
        <f t="shared" si="2"/>
        <v>5</v>
      </c>
      <c r="C163" s="4">
        <v>15295</v>
      </c>
    </row>
    <row r="164" spans="1:3" x14ac:dyDescent="0.45">
      <c r="A164" s="3">
        <v>45940</v>
      </c>
      <c r="B164">
        <f t="shared" si="2"/>
        <v>6</v>
      </c>
      <c r="C164" s="4">
        <v>14740</v>
      </c>
    </row>
    <row r="165" spans="1:3" x14ac:dyDescent="0.45">
      <c r="A165" s="3">
        <v>45941</v>
      </c>
      <c r="B165">
        <f t="shared" si="2"/>
        <v>7</v>
      </c>
      <c r="C165" s="4">
        <v>16106</v>
      </c>
    </row>
    <row r="166" spans="1:3" x14ac:dyDescent="0.45">
      <c r="A166" s="3">
        <v>45942</v>
      </c>
      <c r="B166">
        <f t="shared" si="2"/>
        <v>1</v>
      </c>
      <c r="C166" s="4">
        <v>15182</v>
      </c>
    </row>
    <row r="167" spans="1:3" x14ac:dyDescent="0.45">
      <c r="A167" s="3">
        <v>45943</v>
      </c>
      <c r="B167">
        <f t="shared" si="2"/>
        <v>2</v>
      </c>
      <c r="C167" s="4">
        <v>14097</v>
      </c>
    </row>
    <row r="168" spans="1:3" x14ac:dyDescent="0.45">
      <c r="A168" s="3">
        <v>45944</v>
      </c>
      <c r="B168">
        <f t="shared" si="2"/>
        <v>3</v>
      </c>
      <c r="C168" s="4">
        <v>13654</v>
      </c>
    </row>
    <row r="169" spans="1:3" x14ac:dyDescent="0.45">
      <c r="A169" s="3">
        <v>45945</v>
      </c>
      <c r="B169">
        <f t="shared" si="2"/>
        <v>4</v>
      </c>
      <c r="C169" s="4">
        <v>14070</v>
      </c>
    </row>
    <row r="170" spans="1:3" x14ac:dyDescent="0.45">
      <c r="A170" s="3">
        <v>45946</v>
      </c>
      <c r="B170">
        <f t="shared" si="2"/>
        <v>5</v>
      </c>
      <c r="C170" s="4">
        <v>14361</v>
      </c>
    </row>
    <row r="171" spans="1:3" x14ac:dyDescent="0.45">
      <c r="A171" s="3">
        <v>45947</v>
      </c>
      <c r="B171">
        <f t="shared" si="2"/>
        <v>6</v>
      </c>
      <c r="C171" s="4">
        <v>22664</v>
      </c>
    </row>
    <row r="172" spans="1:3" x14ac:dyDescent="0.45">
      <c r="A172" s="3">
        <v>45948</v>
      </c>
      <c r="B172">
        <f t="shared" si="2"/>
        <v>7</v>
      </c>
      <c r="C172" s="4">
        <v>25063</v>
      </c>
    </row>
    <row r="173" spans="1:3" x14ac:dyDescent="0.45">
      <c r="A173" s="3">
        <v>45949</v>
      </c>
      <c r="B173">
        <f t="shared" si="2"/>
        <v>1</v>
      </c>
      <c r="C173" s="4">
        <v>23962</v>
      </c>
    </row>
    <row r="174" spans="1:3" x14ac:dyDescent="0.45">
      <c r="A174" s="3">
        <v>45950</v>
      </c>
      <c r="B174">
        <f t="shared" si="2"/>
        <v>2</v>
      </c>
      <c r="C174" s="4">
        <v>21287</v>
      </c>
    </row>
    <row r="175" spans="1:3" x14ac:dyDescent="0.45">
      <c r="A175" s="3">
        <v>45951</v>
      </c>
      <c r="B175">
        <f t="shared" si="2"/>
        <v>3</v>
      </c>
      <c r="C175" s="4">
        <v>21636</v>
      </c>
    </row>
    <row r="176" spans="1:3" x14ac:dyDescent="0.45">
      <c r="A176" s="3">
        <v>45952</v>
      </c>
      <c r="B176">
        <f t="shared" si="2"/>
        <v>4</v>
      </c>
      <c r="C176" s="4">
        <v>22645</v>
      </c>
    </row>
    <row r="177" spans="1:3" x14ac:dyDescent="0.45">
      <c r="A177" s="3">
        <v>45953</v>
      </c>
      <c r="B177">
        <f t="shared" si="2"/>
        <v>5</v>
      </c>
      <c r="C177" s="4">
        <v>22925</v>
      </c>
    </row>
    <row r="178" spans="1:3" x14ac:dyDescent="0.45">
      <c r="A178" s="3">
        <v>45954</v>
      </c>
      <c r="B178">
        <f t="shared" si="2"/>
        <v>6</v>
      </c>
      <c r="C178" s="4">
        <v>15682</v>
      </c>
    </row>
    <row r="179" spans="1:3" x14ac:dyDescent="0.45">
      <c r="A179" s="3">
        <v>45955</v>
      </c>
      <c r="B179">
        <f t="shared" si="2"/>
        <v>7</v>
      </c>
      <c r="C179" s="4">
        <v>17178</v>
      </c>
    </row>
    <row r="180" spans="1:3" x14ac:dyDescent="0.45">
      <c r="A180" s="3">
        <v>45956</v>
      </c>
      <c r="B180">
        <f t="shared" si="2"/>
        <v>1</v>
      </c>
      <c r="C180" s="4">
        <v>15395</v>
      </c>
    </row>
    <row r="181" spans="1:3" x14ac:dyDescent="0.45">
      <c r="A181" s="3">
        <v>45957</v>
      </c>
      <c r="B181">
        <f t="shared" si="2"/>
        <v>2</v>
      </c>
      <c r="C181" s="4">
        <v>13820</v>
      </c>
    </row>
    <row r="182" spans="1:3" x14ac:dyDescent="0.45">
      <c r="A182" s="3">
        <v>45958</v>
      </c>
      <c r="B182">
        <f t="shared" si="2"/>
        <v>3</v>
      </c>
      <c r="C182" s="4">
        <v>14282</v>
      </c>
    </row>
    <row r="183" spans="1:3" x14ac:dyDescent="0.45">
      <c r="A183" s="3">
        <v>45959</v>
      </c>
      <c r="B183">
        <f t="shared" si="2"/>
        <v>4</v>
      </c>
      <c r="C183" s="4">
        <v>14615</v>
      </c>
    </row>
    <row r="184" spans="1:3" x14ac:dyDescent="0.45">
      <c r="A184" s="3">
        <v>45960</v>
      </c>
      <c r="B184">
        <f t="shared" si="2"/>
        <v>5</v>
      </c>
      <c r="C184" s="4">
        <v>15498</v>
      </c>
    </row>
    <row r="185" spans="1:3" x14ac:dyDescent="0.45">
      <c r="A185" s="3">
        <v>45961</v>
      </c>
      <c r="B185">
        <f t="shared" si="2"/>
        <v>6</v>
      </c>
      <c r="C185" s="4">
        <v>15809</v>
      </c>
    </row>
    <row r="186" spans="1:3" x14ac:dyDescent="0.45">
      <c r="A186" s="3">
        <v>45962</v>
      </c>
      <c r="B186">
        <f t="shared" si="2"/>
        <v>7</v>
      </c>
      <c r="C186" s="4">
        <v>16566</v>
      </c>
    </row>
    <row r="187" spans="1:3" x14ac:dyDescent="0.45">
      <c r="A187" s="3">
        <v>45963</v>
      </c>
      <c r="B187">
        <f t="shared" si="2"/>
        <v>1</v>
      </c>
      <c r="C187" s="4">
        <v>15852</v>
      </c>
    </row>
    <row r="188" spans="1:3" x14ac:dyDescent="0.45">
      <c r="A188" s="3">
        <v>45964</v>
      </c>
      <c r="B188">
        <f t="shared" si="2"/>
        <v>2</v>
      </c>
      <c r="C188" s="4">
        <v>13297</v>
      </c>
    </row>
    <row r="189" spans="1:3" x14ac:dyDescent="0.45">
      <c r="A189" s="3">
        <v>45965</v>
      </c>
      <c r="B189">
        <f t="shared" si="2"/>
        <v>3</v>
      </c>
      <c r="C189" s="4">
        <v>13941</v>
      </c>
    </row>
    <row r="190" spans="1:3" x14ac:dyDescent="0.45">
      <c r="A190" s="3">
        <v>45966</v>
      </c>
      <c r="B190">
        <f t="shared" si="2"/>
        <v>4</v>
      </c>
      <c r="C190" s="4">
        <v>14174</v>
      </c>
    </row>
    <row r="191" spans="1:3" x14ac:dyDescent="0.45">
      <c r="A191" s="3">
        <v>45967</v>
      </c>
      <c r="B191">
        <f t="shared" si="2"/>
        <v>5</v>
      </c>
      <c r="C191" s="4">
        <v>15184</v>
      </c>
    </row>
    <row r="192" spans="1:3" x14ac:dyDescent="0.45">
      <c r="A192" s="3">
        <v>45968</v>
      </c>
      <c r="B192">
        <f t="shared" si="2"/>
        <v>6</v>
      </c>
      <c r="C192" s="4">
        <v>15776</v>
      </c>
    </row>
    <row r="193" spans="1:3" x14ac:dyDescent="0.45">
      <c r="A193" s="3">
        <v>45969</v>
      </c>
      <c r="B193">
        <f t="shared" si="2"/>
        <v>7</v>
      </c>
      <c r="C193" s="4">
        <v>17133</v>
      </c>
    </row>
    <row r="194" spans="1:3" x14ac:dyDescent="0.45">
      <c r="A194" s="3">
        <v>45970</v>
      </c>
      <c r="B194">
        <f t="shared" ref="B194:B257" si="3">WEEKDAY(A194,1)</f>
        <v>1</v>
      </c>
      <c r="C194" s="4">
        <v>16079</v>
      </c>
    </row>
    <row r="195" spans="1:3" x14ac:dyDescent="0.45">
      <c r="A195" s="3">
        <v>45971</v>
      </c>
      <c r="B195">
        <f t="shared" si="3"/>
        <v>2</v>
      </c>
      <c r="C195" s="4">
        <v>14272</v>
      </c>
    </row>
    <row r="196" spans="1:3" x14ac:dyDescent="0.45">
      <c r="A196" s="3">
        <v>45972</v>
      </c>
      <c r="B196">
        <f t="shared" si="3"/>
        <v>3</v>
      </c>
      <c r="C196" s="4">
        <v>14704</v>
      </c>
    </row>
    <row r="197" spans="1:3" x14ac:dyDescent="0.45">
      <c r="A197" s="3">
        <v>45973</v>
      </c>
      <c r="B197">
        <f t="shared" si="3"/>
        <v>4</v>
      </c>
      <c r="C197" s="4">
        <v>14258</v>
      </c>
    </row>
    <row r="198" spans="1:3" x14ac:dyDescent="0.45">
      <c r="A198" s="3">
        <v>45974</v>
      </c>
      <c r="B198">
        <f t="shared" si="3"/>
        <v>5</v>
      </c>
      <c r="C198" s="4">
        <v>14696</v>
      </c>
    </row>
    <row r="199" spans="1:3" x14ac:dyDescent="0.45">
      <c r="A199" s="3">
        <v>45975</v>
      </c>
      <c r="B199">
        <f t="shared" si="3"/>
        <v>6</v>
      </c>
      <c r="C199" s="4">
        <v>14775</v>
      </c>
    </row>
    <row r="200" spans="1:3" x14ac:dyDescent="0.45">
      <c r="A200" s="3">
        <v>45976</v>
      </c>
      <c r="B200">
        <f t="shared" si="3"/>
        <v>7</v>
      </c>
      <c r="C200" s="4">
        <v>16932</v>
      </c>
    </row>
    <row r="201" spans="1:3" x14ac:dyDescent="0.45">
      <c r="A201" s="3">
        <v>45977</v>
      </c>
      <c r="B201">
        <f t="shared" si="3"/>
        <v>1</v>
      </c>
      <c r="C201" s="4">
        <v>15647</v>
      </c>
    </row>
    <row r="202" spans="1:3" x14ac:dyDescent="0.45">
      <c r="A202" s="3">
        <v>45978</v>
      </c>
      <c r="B202">
        <f t="shared" si="3"/>
        <v>2</v>
      </c>
      <c r="C202" s="4">
        <v>13772</v>
      </c>
    </row>
    <row r="203" spans="1:3" x14ac:dyDescent="0.45">
      <c r="A203" s="3">
        <v>45979</v>
      </c>
      <c r="B203">
        <f t="shared" si="3"/>
        <v>3</v>
      </c>
      <c r="C203" s="4">
        <v>14256</v>
      </c>
    </row>
    <row r="204" spans="1:3" x14ac:dyDescent="0.45">
      <c r="A204" s="3">
        <v>45980</v>
      </c>
      <c r="B204">
        <f t="shared" si="3"/>
        <v>4</v>
      </c>
      <c r="C204" s="4">
        <v>14559</v>
      </c>
    </row>
    <row r="205" spans="1:3" x14ac:dyDescent="0.45">
      <c r="A205" s="3">
        <v>45981</v>
      </c>
      <c r="B205">
        <f t="shared" si="3"/>
        <v>5</v>
      </c>
      <c r="C205" s="4">
        <v>14876</v>
      </c>
    </row>
    <row r="206" spans="1:3" x14ac:dyDescent="0.45">
      <c r="A206" s="3">
        <v>45982</v>
      </c>
      <c r="B206">
        <f t="shared" si="3"/>
        <v>6</v>
      </c>
      <c r="C206" s="4">
        <v>15767</v>
      </c>
    </row>
    <row r="207" spans="1:3" x14ac:dyDescent="0.45">
      <c r="A207" s="3">
        <v>45983</v>
      </c>
      <c r="B207">
        <f t="shared" si="3"/>
        <v>7</v>
      </c>
      <c r="C207" s="4">
        <v>16976</v>
      </c>
    </row>
    <row r="208" spans="1:3" x14ac:dyDescent="0.45">
      <c r="A208" s="3">
        <v>45984</v>
      </c>
      <c r="B208">
        <f t="shared" si="3"/>
        <v>1</v>
      </c>
      <c r="C208" s="4">
        <v>16236</v>
      </c>
    </row>
    <row r="209" spans="1:3" x14ac:dyDescent="0.45">
      <c r="A209" s="3">
        <v>45985</v>
      </c>
      <c r="B209">
        <f t="shared" si="3"/>
        <v>2</v>
      </c>
      <c r="C209" s="4">
        <v>13806</v>
      </c>
    </row>
    <row r="210" spans="1:3" x14ac:dyDescent="0.45">
      <c r="A210" s="3">
        <v>45986</v>
      </c>
      <c r="B210">
        <f t="shared" si="3"/>
        <v>3</v>
      </c>
      <c r="C210" s="4">
        <v>14629</v>
      </c>
    </row>
    <row r="211" spans="1:3" x14ac:dyDescent="0.45">
      <c r="A211" s="3">
        <v>45987</v>
      </c>
      <c r="B211">
        <f t="shared" si="3"/>
        <v>4</v>
      </c>
      <c r="C211" s="4">
        <v>14257</v>
      </c>
    </row>
    <row r="212" spans="1:3" x14ac:dyDescent="0.45">
      <c r="A212" s="3">
        <v>45988</v>
      </c>
      <c r="B212">
        <f t="shared" si="3"/>
        <v>5</v>
      </c>
      <c r="C212" s="4">
        <v>14377</v>
      </c>
    </row>
    <row r="213" spans="1:3" x14ac:dyDescent="0.45">
      <c r="A213" s="3">
        <v>45989</v>
      </c>
      <c r="B213">
        <f t="shared" si="3"/>
        <v>6</v>
      </c>
      <c r="C213" s="4">
        <v>15240</v>
      </c>
    </row>
    <row r="214" spans="1:3" x14ac:dyDescent="0.45">
      <c r="A214" s="3">
        <v>45990</v>
      </c>
      <c r="B214">
        <f t="shared" si="3"/>
        <v>7</v>
      </c>
      <c r="C214" s="4">
        <v>17115</v>
      </c>
    </row>
    <row r="215" spans="1:3" x14ac:dyDescent="0.45">
      <c r="A215" s="3">
        <v>45991</v>
      </c>
      <c r="B215">
        <f t="shared" si="3"/>
        <v>1</v>
      </c>
      <c r="C215" s="4">
        <v>15612</v>
      </c>
    </row>
    <row r="216" spans="1:3" x14ac:dyDescent="0.45">
      <c r="A216" s="3">
        <v>45992</v>
      </c>
      <c r="B216">
        <f t="shared" si="3"/>
        <v>2</v>
      </c>
      <c r="C216" s="4">
        <v>14222</v>
      </c>
    </row>
    <row r="217" spans="1:3" x14ac:dyDescent="0.45">
      <c r="A217" s="3">
        <v>45993</v>
      </c>
      <c r="B217">
        <f t="shared" si="3"/>
        <v>3</v>
      </c>
      <c r="C217" s="4">
        <v>13713</v>
      </c>
    </row>
    <row r="218" spans="1:3" x14ac:dyDescent="0.45">
      <c r="A218" s="3">
        <v>45994</v>
      </c>
      <c r="B218">
        <f t="shared" si="3"/>
        <v>4</v>
      </c>
      <c r="C218" s="4">
        <v>15153</v>
      </c>
    </row>
    <row r="219" spans="1:3" x14ac:dyDescent="0.45">
      <c r="A219" s="3">
        <v>45995</v>
      </c>
      <c r="B219">
        <f t="shared" si="3"/>
        <v>5</v>
      </c>
      <c r="C219" s="4">
        <v>15139</v>
      </c>
    </row>
    <row r="220" spans="1:3" x14ac:dyDescent="0.45">
      <c r="A220" s="3">
        <v>45996</v>
      </c>
      <c r="B220">
        <f t="shared" si="3"/>
        <v>6</v>
      </c>
      <c r="C220" s="4">
        <v>15344</v>
      </c>
    </row>
    <row r="221" spans="1:3" x14ac:dyDescent="0.45">
      <c r="A221" s="3">
        <v>45997</v>
      </c>
      <c r="B221">
        <f t="shared" si="3"/>
        <v>7</v>
      </c>
      <c r="C221" s="4">
        <v>17131</v>
      </c>
    </row>
    <row r="222" spans="1:3" x14ac:dyDescent="0.45">
      <c r="A222" s="3">
        <v>45998</v>
      </c>
      <c r="B222">
        <f t="shared" si="3"/>
        <v>1</v>
      </c>
      <c r="C222" s="4">
        <v>15944</v>
      </c>
    </row>
    <row r="223" spans="1:3" x14ac:dyDescent="0.45">
      <c r="A223" s="3">
        <v>45999</v>
      </c>
      <c r="B223">
        <f t="shared" si="3"/>
        <v>2</v>
      </c>
      <c r="C223" s="4">
        <v>13437</v>
      </c>
    </row>
    <row r="224" spans="1:3" x14ac:dyDescent="0.45">
      <c r="A224" s="3">
        <v>46000</v>
      </c>
      <c r="B224">
        <f t="shared" si="3"/>
        <v>3</v>
      </c>
      <c r="C224" s="4">
        <v>13906</v>
      </c>
    </row>
    <row r="225" spans="1:3" x14ac:dyDescent="0.45">
      <c r="A225" s="3">
        <v>46001</v>
      </c>
      <c r="B225">
        <f t="shared" si="3"/>
        <v>4</v>
      </c>
      <c r="C225" s="4">
        <v>14322</v>
      </c>
    </row>
    <row r="226" spans="1:3" x14ac:dyDescent="0.45">
      <c r="A226" s="3">
        <v>46002</v>
      </c>
      <c r="B226">
        <f t="shared" si="3"/>
        <v>5</v>
      </c>
      <c r="C226" s="4">
        <v>15346</v>
      </c>
    </row>
    <row r="227" spans="1:3" x14ac:dyDescent="0.45">
      <c r="A227" s="3">
        <v>46003</v>
      </c>
      <c r="B227">
        <f t="shared" si="3"/>
        <v>6</v>
      </c>
      <c r="C227" s="4">
        <v>15184</v>
      </c>
    </row>
    <row r="228" spans="1:3" x14ac:dyDescent="0.45">
      <c r="A228" s="3">
        <v>46004</v>
      </c>
      <c r="B228">
        <f t="shared" si="3"/>
        <v>7</v>
      </c>
      <c r="C228" s="4">
        <v>16393</v>
      </c>
    </row>
    <row r="229" spans="1:3" x14ac:dyDescent="0.45">
      <c r="A229" s="3">
        <v>46005</v>
      </c>
      <c r="B229">
        <f t="shared" si="3"/>
        <v>1</v>
      </c>
      <c r="C229" s="4">
        <v>16256</v>
      </c>
    </row>
    <row r="230" spans="1:3" x14ac:dyDescent="0.45">
      <c r="A230" s="3">
        <v>46006</v>
      </c>
      <c r="B230">
        <f t="shared" si="3"/>
        <v>2</v>
      </c>
      <c r="C230" s="4">
        <v>14085</v>
      </c>
    </row>
    <row r="231" spans="1:3" x14ac:dyDescent="0.45">
      <c r="A231" s="3">
        <v>46007</v>
      </c>
      <c r="B231">
        <f t="shared" si="3"/>
        <v>3</v>
      </c>
      <c r="C231" s="4">
        <v>14318</v>
      </c>
    </row>
    <row r="232" spans="1:3" x14ac:dyDescent="0.45">
      <c r="A232" s="3">
        <v>46008</v>
      </c>
      <c r="B232">
        <f t="shared" si="3"/>
        <v>4</v>
      </c>
      <c r="C232" s="4">
        <v>14887</v>
      </c>
    </row>
    <row r="233" spans="1:3" x14ac:dyDescent="0.45">
      <c r="A233" s="3">
        <v>46009</v>
      </c>
      <c r="B233">
        <f t="shared" si="3"/>
        <v>5</v>
      </c>
      <c r="C233" s="4">
        <v>15028</v>
      </c>
    </row>
    <row r="234" spans="1:3" x14ac:dyDescent="0.45">
      <c r="A234" s="3">
        <v>46010</v>
      </c>
      <c r="B234">
        <f t="shared" si="3"/>
        <v>6</v>
      </c>
      <c r="C234" s="4">
        <v>15392</v>
      </c>
    </row>
    <row r="235" spans="1:3" x14ac:dyDescent="0.45">
      <c r="A235" s="3">
        <v>46011</v>
      </c>
      <c r="B235">
        <f t="shared" si="3"/>
        <v>7</v>
      </c>
      <c r="C235" s="4">
        <v>16548</v>
      </c>
    </row>
    <row r="236" spans="1:3" x14ac:dyDescent="0.45">
      <c r="A236" s="3">
        <v>46012</v>
      </c>
      <c r="B236">
        <f t="shared" si="3"/>
        <v>1</v>
      </c>
      <c r="C236" s="4">
        <v>16204</v>
      </c>
    </row>
    <row r="237" spans="1:3" x14ac:dyDescent="0.45">
      <c r="A237" s="3">
        <v>46013</v>
      </c>
      <c r="B237">
        <f t="shared" si="3"/>
        <v>2</v>
      </c>
      <c r="C237" s="4">
        <v>14340</v>
      </c>
    </row>
    <row r="238" spans="1:3" x14ac:dyDescent="0.45">
      <c r="A238" s="3">
        <v>46014</v>
      </c>
      <c r="B238">
        <f t="shared" si="3"/>
        <v>3</v>
      </c>
      <c r="C238" s="4">
        <v>14769</v>
      </c>
    </row>
    <row r="239" spans="1:3" x14ac:dyDescent="0.45">
      <c r="A239" s="3">
        <v>46015</v>
      </c>
      <c r="B239">
        <f t="shared" si="3"/>
        <v>4</v>
      </c>
      <c r="C239" s="4">
        <v>15269</v>
      </c>
    </row>
    <row r="240" spans="1:3" x14ac:dyDescent="0.45">
      <c r="A240" s="3">
        <v>46016</v>
      </c>
      <c r="B240">
        <f t="shared" si="3"/>
        <v>5</v>
      </c>
      <c r="C240" s="4">
        <v>15309</v>
      </c>
    </row>
    <row r="241" spans="1:3" x14ac:dyDescent="0.45">
      <c r="A241" s="3">
        <v>46017</v>
      </c>
      <c r="B241">
        <f t="shared" si="3"/>
        <v>6</v>
      </c>
      <c r="C241" s="4">
        <v>15129</v>
      </c>
    </row>
    <row r="242" spans="1:3" x14ac:dyDescent="0.45">
      <c r="A242" s="3">
        <v>46018</v>
      </c>
      <c r="B242">
        <f t="shared" si="3"/>
        <v>7</v>
      </c>
      <c r="C242" s="4">
        <v>17347</v>
      </c>
    </row>
    <row r="243" spans="1:3" x14ac:dyDescent="0.45">
      <c r="A243" s="3">
        <v>46019</v>
      </c>
      <c r="B243">
        <f t="shared" si="3"/>
        <v>1</v>
      </c>
      <c r="C243" s="4">
        <v>15602</v>
      </c>
    </row>
    <row r="244" spans="1:3" x14ac:dyDescent="0.45">
      <c r="A244" s="3">
        <v>46020</v>
      </c>
      <c r="B244">
        <f t="shared" si="3"/>
        <v>2</v>
      </c>
      <c r="C244" s="4">
        <v>14297</v>
      </c>
    </row>
    <row r="245" spans="1:3" x14ac:dyDescent="0.45">
      <c r="A245" s="3">
        <v>46021</v>
      </c>
      <c r="B245">
        <f t="shared" si="3"/>
        <v>3</v>
      </c>
      <c r="C245" s="4">
        <v>14649</v>
      </c>
    </row>
    <row r="246" spans="1:3" x14ac:dyDescent="0.45">
      <c r="A246" s="3">
        <v>46022</v>
      </c>
      <c r="B246">
        <f t="shared" si="3"/>
        <v>4</v>
      </c>
      <c r="C246" s="4">
        <v>14528</v>
      </c>
    </row>
    <row r="247" spans="1:3" x14ac:dyDescent="0.45">
      <c r="A247" s="3">
        <v>46023</v>
      </c>
      <c r="B247">
        <f t="shared" si="3"/>
        <v>5</v>
      </c>
      <c r="C247" s="4">
        <v>15551</v>
      </c>
    </row>
    <row r="248" spans="1:3" x14ac:dyDescent="0.45">
      <c r="A248" s="3">
        <v>46024</v>
      </c>
      <c r="B248">
        <f t="shared" si="3"/>
        <v>6</v>
      </c>
      <c r="C248" s="4">
        <v>15246</v>
      </c>
    </row>
    <row r="249" spans="1:3" x14ac:dyDescent="0.45">
      <c r="A249" s="3">
        <v>46025</v>
      </c>
      <c r="B249">
        <f t="shared" si="3"/>
        <v>7</v>
      </c>
      <c r="C249" s="4">
        <v>17050</v>
      </c>
    </row>
    <row r="250" spans="1:3" x14ac:dyDescent="0.45">
      <c r="A250" s="3">
        <v>46026</v>
      </c>
      <c r="B250">
        <f t="shared" si="3"/>
        <v>1</v>
      </c>
      <c r="C250" s="4">
        <v>15772</v>
      </c>
    </row>
    <row r="251" spans="1:3" x14ac:dyDescent="0.45">
      <c r="A251" s="3">
        <v>46027</v>
      </c>
      <c r="B251">
        <f t="shared" si="3"/>
        <v>2</v>
      </c>
      <c r="C251" s="4">
        <v>13592</v>
      </c>
    </row>
    <row r="252" spans="1:3" x14ac:dyDescent="0.45">
      <c r="A252" s="3">
        <v>46028</v>
      </c>
      <c r="B252">
        <f t="shared" si="3"/>
        <v>3</v>
      </c>
      <c r="C252" s="4">
        <v>14785</v>
      </c>
    </row>
    <row r="253" spans="1:3" x14ac:dyDescent="0.45">
      <c r="A253" s="3">
        <v>46029</v>
      </c>
      <c r="B253">
        <f t="shared" si="3"/>
        <v>4</v>
      </c>
      <c r="C253" s="4">
        <v>14965</v>
      </c>
    </row>
    <row r="254" spans="1:3" x14ac:dyDescent="0.45">
      <c r="A254" s="3">
        <v>46030</v>
      </c>
      <c r="B254">
        <f t="shared" si="3"/>
        <v>5</v>
      </c>
      <c r="C254" s="4">
        <v>14527</v>
      </c>
    </row>
    <row r="255" spans="1:3" x14ac:dyDescent="0.45">
      <c r="A255" s="3">
        <v>46031</v>
      </c>
      <c r="B255">
        <f t="shared" si="3"/>
        <v>6</v>
      </c>
      <c r="C255" s="4">
        <v>15352</v>
      </c>
    </row>
    <row r="256" spans="1:3" x14ac:dyDescent="0.45">
      <c r="A256" s="3">
        <v>46032</v>
      </c>
      <c r="B256">
        <f t="shared" si="3"/>
        <v>7</v>
      </c>
      <c r="C256" s="4">
        <v>16214</v>
      </c>
    </row>
    <row r="257" spans="1:3" x14ac:dyDescent="0.45">
      <c r="A257" s="3">
        <v>46033</v>
      </c>
      <c r="B257">
        <f t="shared" si="3"/>
        <v>1</v>
      </c>
      <c r="C257" s="4">
        <v>15441</v>
      </c>
    </row>
    <row r="258" spans="1:3" x14ac:dyDescent="0.45">
      <c r="A258" s="3">
        <v>46034</v>
      </c>
      <c r="B258">
        <f t="shared" ref="B258:B321" si="4">WEEKDAY(A258,1)</f>
        <v>2</v>
      </c>
      <c r="C258" s="4">
        <v>13454</v>
      </c>
    </row>
    <row r="259" spans="1:3" x14ac:dyDescent="0.45">
      <c r="A259" s="3">
        <v>46035</v>
      </c>
      <c r="B259">
        <f t="shared" si="4"/>
        <v>3</v>
      </c>
      <c r="C259" s="4">
        <v>14738</v>
      </c>
    </row>
    <row r="260" spans="1:3" x14ac:dyDescent="0.45">
      <c r="A260" s="3">
        <v>46036</v>
      </c>
      <c r="B260">
        <f t="shared" si="4"/>
        <v>4</v>
      </c>
      <c r="C260" s="4">
        <v>15073</v>
      </c>
    </row>
    <row r="261" spans="1:3" x14ac:dyDescent="0.45">
      <c r="A261" s="3">
        <v>46037</v>
      </c>
      <c r="B261">
        <f t="shared" si="4"/>
        <v>5</v>
      </c>
      <c r="C261" s="4">
        <v>15278</v>
      </c>
    </row>
    <row r="262" spans="1:3" x14ac:dyDescent="0.45">
      <c r="A262" s="3">
        <v>46038</v>
      </c>
      <c r="B262">
        <f t="shared" si="4"/>
        <v>6</v>
      </c>
      <c r="C262" s="4">
        <v>15518</v>
      </c>
    </row>
    <row r="263" spans="1:3" x14ac:dyDescent="0.45">
      <c r="A263" s="3">
        <v>46039</v>
      </c>
      <c r="B263">
        <f t="shared" si="4"/>
        <v>7</v>
      </c>
      <c r="C263" s="4">
        <v>17263</v>
      </c>
    </row>
    <row r="264" spans="1:3" x14ac:dyDescent="0.45">
      <c r="A264" s="3">
        <v>46040</v>
      </c>
      <c r="B264">
        <f t="shared" si="4"/>
        <v>1</v>
      </c>
      <c r="C264" s="4">
        <v>16288</v>
      </c>
    </row>
    <row r="265" spans="1:3" x14ac:dyDescent="0.45">
      <c r="A265" s="3">
        <v>46041</v>
      </c>
      <c r="B265">
        <f t="shared" si="4"/>
        <v>2</v>
      </c>
      <c r="C265" s="4">
        <v>13390</v>
      </c>
    </row>
    <row r="266" spans="1:3" x14ac:dyDescent="0.45">
      <c r="A266" s="3">
        <v>46042</v>
      </c>
      <c r="B266">
        <f t="shared" si="4"/>
        <v>3</v>
      </c>
      <c r="C266" s="4">
        <v>14671</v>
      </c>
    </row>
    <row r="267" spans="1:3" x14ac:dyDescent="0.45">
      <c r="A267" s="3">
        <v>46043</v>
      </c>
      <c r="B267">
        <f t="shared" si="4"/>
        <v>4</v>
      </c>
      <c r="C267" s="4">
        <v>15122</v>
      </c>
    </row>
    <row r="268" spans="1:3" x14ac:dyDescent="0.45">
      <c r="A268" s="3">
        <v>46044</v>
      </c>
      <c r="B268">
        <f t="shared" si="4"/>
        <v>5</v>
      </c>
      <c r="C268" s="4">
        <v>15042</v>
      </c>
    </row>
    <row r="269" spans="1:3" x14ac:dyDescent="0.45">
      <c r="A269" s="3">
        <v>46045</v>
      </c>
      <c r="B269">
        <f t="shared" si="4"/>
        <v>6</v>
      </c>
      <c r="C269" s="4">
        <v>15828</v>
      </c>
    </row>
    <row r="270" spans="1:3" x14ac:dyDescent="0.45">
      <c r="A270" s="3">
        <v>46046</v>
      </c>
      <c r="B270">
        <f t="shared" si="4"/>
        <v>7</v>
      </c>
      <c r="C270" s="4">
        <v>17261</v>
      </c>
    </row>
    <row r="271" spans="1:3" x14ac:dyDescent="0.45">
      <c r="A271" s="3">
        <v>46047</v>
      </c>
      <c r="B271">
        <f t="shared" si="4"/>
        <v>1</v>
      </c>
      <c r="C271" s="4">
        <v>16282</v>
      </c>
    </row>
    <row r="272" spans="1:3" x14ac:dyDescent="0.45">
      <c r="A272" s="3">
        <v>46048</v>
      </c>
      <c r="B272">
        <f t="shared" si="4"/>
        <v>2</v>
      </c>
      <c r="C272" s="4">
        <v>14306</v>
      </c>
    </row>
    <row r="273" spans="1:3" x14ac:dyDescent="0.45">
      <c r="A273" s="3">
        <v>46049</v>
      </c>
      <c r="B273">
        <f t="shared" si="4"/>
        <v>3</v>
      </c>
      <c r="C273" s="4">
        <v>14627</v>
      </c>
    </row>
    <row r="274" spans="1:3" x14ac:dyDescent="0.45">
      <c r="A274" s="3">
        <v>46050</v>
      </c>
      <c r="B274">
        <f t="shared" si="4"/>
        <v>4</v>
      </c>
      <c r="C274" s="4">
        <v>15070</v>
      </c>
    </row>
    <row r="275" spans="1:3" x14ac:dyDescent="0.45">
      <c r="A275" s="3">
        <v>46051</v>
      </c>
      <c r="B275">
        <f t="shared" si="4"/>
        <v>5</v>
      </c>
      <c r="C275" s="4">
        <v>15022</v>
      </c>
    </row>
    <row r="276" spans="1:3" x14ac:dyDescent="0.45">
      <c r="A276" s="3">
        <v>46052</v>
      </c>
      <c r="B276">
        <f t="shared" si="4"/>
        <v>6</v>
      </c>
      <c r="C276" s="4">
        <v>15894</v>
      </c>
    </row>
    <row r="277" spans="1:3" x14ac:dyDescent="0.45">
      <c r="A277" s="3">
        <v>46053</v>
      </c>
      <c r="B277">
        <f t="shared" si="4"/>
        <v>7</v>
      </c>
      <c r="C277" s="4">
        <v>16455</v>
      </c>
    </row>
    <row r="278" spans="1:3" x14ac:dyDescent="0.45">
      <c r="A278" s="3">
        <v>46054</v>
      </c>
      <c r="B278">
        <f t="shared" si="4"/>
        <v>1</v>
      </c>
      <c r="C278" s="4">
        <v>15346</v>
      </c>
    </row>
    <row r="279" spans="1:3" x14ac:dyDescent="0.45">
      <c r="A279" s="3">
        <v>46055</v>
      </c>
      <c r="B279">
        <f t="shared" si="4"/>
        <v>2</v>
      </c>
      <c r="C279" s="4">
        <v>13327</v>
      </c>
    </row>
    <row r="280" spans="1:3" x14ac:dyDescent="0.45">
      <c r="A280" s="3">
        <v>46056</v>
      </c>
      <c r="B280">
        <f t="shared" si="4"/>
        <v>3</v>
      </c>
      <c r="C280" s="4">
        <v>14423</v>
      </c>
    </row>
    <row r="281" spans="1:3" x14ac:dyDescent="0.45">
      <c r="A281" s="3">
        <v>46057</v>
      </c>
      <c r="B281">
        <f t="shared" si="4"/>
        <v>4</v>
      </c>
      <c r="C281" s="4">
        <v>14543</v>
      </c>
    </row>
    <row r="282" spans="1:3" x14ac:dyDescent="0.45">
      <c r="A282" s="3">
        <v>46058</v>
      </c>
      <c r="B282">
        <f t="shared" si="4"/>
        <v>5</v>
      </c>
      <c r="C282" s="4">
        <v>14931</v>
      </c>
    </row>
    <row r="283" spans="1:3" x14ac:dyDescent="0.45">
      <c r="A283" s="3">
        <v>46059</v>
      </c>
      <c r="B283">
        <f t="shared" si="4"/>
        <v>6</v>
      </c>
      <c r="C283" s="4">
        <v>15770</v>
      </c>
    </row>
    <row r="284" spans="1:3" x14ac:dyDescent="0.45">
      <c r="A284" s="3">
        <v>46060</v>
      </c>
      <c r="B284">
        <f t="shared" si="4"/>
        <v>7</v>
      </c>
      <c r="C284" s="4">
        <v>16923</v>
      </c>
    </row>
    <row r="285" spans="1:3" x14ac:dyDescent="0.45">
      <c r="A285" s="3">
        <v>46061</v>
      </c>
      <c r="B285">
        <f t="shared" si="4"/>
        <v>1</v>
      </c>
      <c r="C285" s="4">
        <v>15967</v>
      </c>
    </row>
    <row r="286" spans="1:3" x14ac:dyDescent="0.45">
      <c r="A286" s="3">
        <v>46062</v>
      </c>
      <c r="B286">
        <f t="shared" si="4"/>
        <v>2</v>
      </c>
      <c r="C286" s="4">
        <v>14102</v>
      </c>
    </row>
    <row r="287" spans="1:3" x14ac:dyDescent="0.45">
      <c r="A287" s="3">
        <v>46063</v>
      </c>
      <c r="B287">
        <f t="shared" si="4"/>
        <v>3</v>
      </c>
      <c r="C287" s="4">
        <v>14571</v>
      </c>
    </row>
    <row r="288" spans="1:3" x14ac:dyDescent="0.45">
      <c r="A288" s="3">
        <v>46064</v>
      </c>
      <c r="B288">
        <f t="shared" si="4"/>
        <v>4</v>
      </c>
      <c r="C288" s="4">
        <v>14745</v>
      </c>
    </row>
    <row r="289" spans="1:3" x14ac:dyDescent="0.45">
      <c r="A289" s="3">
        <v>46065</v>
      </c>
      <c r="B289">
        <f t="shared" si="4"/>
        <v>5</v>
      </c>
      <c r="C289" s="4">
        <v>14529</v>
      </c>
    </row>
    <row r="290" spans="1:3" x14ac:dyDescent="0.45">
      <c r="A290" s="3">
        <v>46066</v>
      </c>
      <c r="B290">
        <f t="shared" si="4"/>
        <v>6</v>
      </c>
      <c r="C290" s="4">
        <v>15841</v>
      </c>
    </row>
    <row r="291" spans="1:3" x14ac:dyDescent="0.45">
      <c r="A291" s="3">
        <v>46067</v>
      </c>
      <c r="B291">
        <f t="shared" si="4"/>
        <v>7</v>
      </c>
      <c r="C291" s="4">
        <v>16289</v>
      </c>
    </row>
    <row r="292" spans="1:3" x14ac:dyDescent="0.45">
      <c r="A292" s="3">
        <v>46068</v>
      </c>
      <c r="B292">
        <f t="shared" si="4"/>
        <v>1</v>
      </c>
      <c r="C292" s="4">
        <v>15838</v>
      </c>
    </row>
    <row r="293" spans="1:3" x14ac:dyDescent="0.45">
      <c r="A293" s="3">
        <v>46069</v>
      </c>
      <c r="B293">
        <f t="shared" si="4"/>
        <v>2</v>
      </c>
      <c r="C293" s="4">
        <v>13395</v>
      </c>
    </row>
    <row r="294" spans="1:3" x14ac:dyDescent="0.45">
      <c r="A294" s="3">
        <v>46070</v>
      </c>
      <c r="B294">
        <f t="shared" si="4"/>
        <v>3</v>
      </c>
      <c r="C294" s="4">
        <v>14824</v>
      </c>
    </row>
    <row r="295" spans="1:3" x14ac:dyDescent="0.45">
      <c r="A295" s="3">
        <v>46071</v>
      </c>
      <c r="B295">
        <f t="shared" si="4"/>
        <v>4</v>
      </c>
      <c r="C295" s="4">
        <v>14834</v>
      </c>
    </row>
    <row r="296" spans="1:3" x14ac:dyDescent="0.45">
      <c r="A296" s="3">
        <v>46072</v>
      </c>
      <c r="B296">
        <f t="shared" si="4"/>
        <v>5</v>
      </c>
      <c r="C296" s="4">
        <v>15638</v>
      </c>
    </row>
    <row r="297" spans="1:3" x14ac:dyDescent="0.45">
      <c r="A297" s="3">
        <v>46073</v>
      </c>
      <c r="B297">
        <f t="shared" si="4"/>
        <v>6</v>
      </c>
      <c r="C297" s="4">
        <v>15547</v>
      </c>
    </row>
    <row r="298" spans="1:3" x14ac:dyDescent="0.45">
      <c r="A298" s="3">
        <v>46074</v>
      </c>
      <c r="B298">
        <f t="shared" si="4"/>
        <v>7</v>
      </c>
      <c r="C298" s="4">
        <v>17220</v>
      </c>
    </row>
    <row r="299" spans="1:3" x14ac:dyDescent="0.45">
      <c r="A299" s="3">
        <v>46075</v>
      </c>
      <c r="B299">
        <f t="shared" si="4"/>
        <v>1</v>
      </c>
      <c r="C299" s="4">
        <v>15891</v>
      </c>
    </row>
    <row r="300" spans="1:3" x14ac:dyDescent="0.45">
      <c r="A300" s="3">
        <v>46076</v>
      </c>
      <c r="B300">
        <f t="shared" si="4"/>
        <v>2</v>
      </c>
      <c r="C300" s="4">
        <v>13621</v>
      </c>
    </row>
    <row r="301" spans="1:3" x14ac:dyDescent="0.45">
      <c r="A301" s="3">
        <v>46077</v>
      </c>
      <c r="B301">
        <f t="shared" si="4"/>
        <v>3</v>
      </c>
      <c r="C301" s="4">
        <v>14260</v>
      </c>
    </row>
    <row r="302" spans="1:3" x14ac:dyDescent="0.45">
      <c r="A302" s="3">
        <v>46078</v>
      </c>
      <c r="B302">
        <f t="shared" si="4"/>
        <v>4</v>
      </c>
      <c r="C302" s="4">
        <v>14933</v>
      </c>
    </row>
    <row r="303" spans="1:3" x14ac:dyDescent="0.45">
      <c r="A303" s="3">
        <v>46079</v>
      </c>
      <c r="B303">
        <f t="shared" si="4"/>
        <v>5</v>
      </c>
      <c r="C303" s="4">
        <v>14638</v>
      </c>
    </row>
    <row r="304" spans="1:3" x14ac:dyDescent="0.45">
      <c r="A304" s="3">
        <v>46080</v>
      </c>
      <c r="B304">
        <f t="shared" si="4"/>
        <v>6</v>
      </c>
      <c r="C304" s="4">
        <v>15113</v>
      </c>
    </row>
    <row r="305" spans="1:3" x14ac:dyDescent="0.45">
      <c r="A305" s="3">
        <v>46081</v>
      </c>
      <c r="B305">
        <f t="shared" si="4"/>
        <v>7</v>
      </c>
      <c r="C305" s="4">
        <v>16914</v>
      </c>
    </row>
    <row r="306" spans="1:3" x14ac:dyDescent="0.45">
      <c r="A306" s="3">
        <v>46082</v>
      </c>
      <c r="B306">
        <f t="shared" si="4"/>
        <v>1</v>
      </c>
      <c r="C306" s="4">
        <v>16424</v>
      </c>
    </row>
    <row r="307" spans="1:3" x14ac:dyDescent="0.45">
      <c r="A307" s="3">
        <v>46083</v>
      </c>
      <c r="B307">
        <f t="shared" si="4"/>
        <v>2</v>
      </c>
      <c r="C307" s="4">
        <v>13569</v>
      </c>
    </row>
    <row r="308" spans="1:3" x14ac:dyDescent="0.45">
      <c r="A308" s="3">
        <v>46084</v>
      </c>
      <c r="B308">
        <f t="shared" si="4"/>
        <v>3</v>
      </c>
      <c r="C308" s="4">
        <v>14541</v>
      </c>
    </row>
    <row r="309" spans="1:3" x14ac:dyDescent="0.45">
      <c r="A309" s="3">
        <v>46085</v>
      </c>
      <c r="B309">
        <f t="shared" si="4"/>
        <v>4</v>
      </c>
      <c r="C309" s="4">
        <v>15323</v>
      </c>
    </row>
    <row r="310" spans="1:3" x14ac:dyDescent="0.45">
      <c r="A310" s="3">
        <v>46086</v>
      </c>
      <c r="B310">
        <f t="shared" si="4"/>
        <v>5</v>
      </c>
      <c r="C310" s="4">
        <v>14911</v>
      </c>
    </row>
    <row r="311" spans="1:3" x14ac:dyDescent="0.45">
      <c r="A311" s="3">
        <v>46087</v>
      </c>
      <c r="B311">
        <f t="shared" si="4"/>
        <v>6</v>
      </c>
      <c r="C311" s="4">
        <v>14966</v>
      </c>
    </row>
    <row r="312" spans="1:3" x14ac:dyDescent="0.45">
      <c r="A312" s="3">
        <v>46088</v>
      </c>
      <c r="B312">
        <f t="shared" si="4"/>
        <v>7</v>
      </c>
      <c r="C312" s="4">
        <v>16754</v>
      </c>
    </row>
    <row r="313" spans="1:3" x14ac:dyDescent="0.45">
      <c r="A313" s="3">
        <v>46089</v>
      </c>
      <c r="B313">
        <f t="shared" si="4"/>
        <v>1</v>
      </c>
      <c r="C313" s="4">
        <v>16427</v>
      </c>
    </row>
    <row r="314" spans="1:3" x14ac:dyDescent="0.45">
      <c r="A314" s="3">
        <v>46090</v>
      </c>
      <c r="B314">
        <f t="shared" si="4"/>
        <v>2</v>
      </c>
      <c r="C314" s="4">
        <v>13586</v>
      </c>
    </row>
    <row r="315" spans="1:3" x14ac:dyDescent="0.45">
      <c r="A315" s="3">
        <v>46091</v>
      </c>
      <c r="B315">
        <f t="shared" si="4"/>
        <v>3</v>
      </c>
      <c r="C315" s="4">
        <v>14199</v>
      </c>
    </row>
    <row r="316" spans="1:3" x14ac:dyDescent="0.45">
      <c r="A316" s="3">
        <v>46092</v>
      </c>
      <c r="B316">
        <f t="shared" si="4"/>
        <v>4</v>
      </c>
      <c r="C316" s="4">
        <v>14232</v>
      </c>
    </row>
    <row r="317" spans="1:3" x14ac:dyDescent="0.45">
      <c r="A317" s="3">
        <v>46093</v>
      </c>
      <c r="B317">
        <f t="shared" si="4"/>
        <v>5</v>
      </c>
      <c r="C317" s="4">
        <v>15204</v>
      </c>
    </row>
    <row r="318" spans="1:3" x14ac:dyDescent="0.45">
      <c r="A318" s="3">
        <v>46094</v>
      </c>
      <c r="B318">
        <f t="shared" si="4"/>
        <v>6</v>
      </c>
      <c r="C318" s="4">
        <v>15682</v>
      </c>
    </row>
    <row r="319" spans="1:3" x14ac:dyDescent="0.45">
      <c r="A319" s="3">
        <v>46095</v>
      </c>
      <c r="B319">
        <f t="shared" si="4"/>
        <v>7</v>
      </c>
      <c r="C319" s="4">
        <v>16863</v>
      </c>
    </row>
    <row r="320" spans="1:3" x14ac:dyDescent="0.45">
      <c r="A320" s="3">
        <v>46096</v>
      </c>
      <c r="B320">
        <f t="shared" si="4"/>
        <v>1</v>
      </c>
      <c r="C320" s="4">
        <v>15681</v>
      </c>
    </row>
    <row r="321" spans="1:3" x14ac:dyDescent="0.45">
      <c r="A321" s="3">
        <v>46097</v>
      </c>
      <c r="B321">
        <f t="shared" si="4"/>
        <v>2</v>
      </c>
      <c r="C321" s="4">
        <v>13811</v>
      </c>
    </row>
    <row r="322" spans="1:3" x14ac:dyDescent="0.45">
      <c r="A322" s="3">
        <v>46098</v>
      </c>
      <c r="B322">
        <f t="shared" ref="B322:B385" si="5">WEEKDAY(A322,1)</f>
        <v>3</v>
      </c>
      <c r="C322" s="4">
        <v>14599</v>
      </c>
    </row>
    <row r="323" spans="1:3" x14ac:dyDescent="0.45">
      <c r="A323" s="3">
        <v>46099</v>
      </c>
      <c r="B323">
        <f t="shared" si="5"/>
        <v>4</v>
      </c>
      <c r="C323" s="4">
        <v>14607</v>
      </c>
    </row>
    <row r="324" spans="1:3" x14ac:dyDescent="0.45">
      <c r="A324" s="3">
        <v>46100</v>
      </c>
      <c r="B324">
        <f t="shared" si="5"/>
        <v>5</v>
      </c>
      <c r="C324" s="4">
        <v>14955</v>
      </c>
    </row>
    <row r="325" spans="1:3" x14ac:dyDescent="0.45">
      <c r="A325" s="3">
        <v>46101</v>
      </c>
      <c r="B325">
        <f t="shared" si="5"/>
        <v>6</v>
      </c>
      <c r="C325" s="4">
        <v>15964</v>
      </c>
    </row>
    <row r="326" spans="1:3" x14ac:dyDescent="0.45">
      <c r="A326" s="3">
        <v>46102</v>
      </c>
      <c r="B326">
        <f t="shared" si="5"/>
        <v>7</v>
      </c>
      <c r="C326" s="4">
        <v>17248</v>
      </c>
    </row>
    <row r="327" spans="1:3" x14ac:dyDescent="0.45">
      <c r="A327" s="3">
        <v>46103</v>
      </c>
      <c r="B327">
        <f t="shared" si="5"/>
        <v>1</v>
      </c>
      <c r="C327" s="4">
        <v>15249</v>
      </c>
    </row>
    <row r="328" spans="1:3" x14ac:dyDescent="0.45">
      <c r="A328" s="3">
        <v>46104</v>
      </c>
      <c r="B328">
        <f t="shared" si="5"/>
        <v>2</v>
      </c>
      <c r="C328" s="4">
        <v>14274</v>
      </c>
    </row>
    <row r="329" spans="1:3" x14ac:dyDescent="0.45">
      <c r="A329" s="3">
        <v>46105</v>
      </c>
      <c r="B329">
        <f t="shared" si="5"/>
        <v>3</v>
      </c>
      <c r="C329" s="4">
        <v>14208</v>
      </c>
    </row>
    <row r="330" spans="1:3" x14ac:dyDescent="0.45">
      <c r="A330" s="3">
        <v>46106</v>
      </c>
      <c r="B330">
        <f t="shared" si="5"/>
        <v>4</v>
      </c>
      <c r="C330" s="4">
        <v>14403</v>
      </c>
    </row>
    <row r="331" spans="1:3" x14ac:dyDescent="0.45">
      <c r="A331" s="3">
        <v>46107</v>
      </c>
      <c r="B331">
        <f t="shared" si="5"/>
        <v>5</v>
      </c>
      <c r="C331" s="4">
        <v>14630</v>
      </c>
    </row>
    <row r="332" spans="1:3" x14ac:dyDescent="0.45">
      <c r="A332" s="3">
        <v>46108</v>
      </c>
      <c r="B332">
        <f t="shared" si="5"/>
        <v>6</v>
      </c>
      <c r="C332" s="4">
        <v>15762</v>
      </c>
    </row>
    <row r="333" spans="1:3" x14ac:dyDescent="0.45">
      <c r="A333" s="3">
        <v>46109</v>
      </c>
      <c r="B333">
        <f t="shared" si="5"/>
        <v>7</v>
      </c>
      <c r="C333" s="4">
        <v>16639</v>
      </c>
    </row>
    <row r="334" spans="1:3" x14ac:dyDescent="0.45">
      <c r="A334" s="3">
        <v>46110</v>
      </c>
      <c r="B334">
        <f t="shared" si="5"/>
        <v>1</v>
      </c>
      <c r="C334" s="4">
        <v>16094</v>
      </c>
    </row>
    <row r="335" spans="1:3" x14ac:dyDescent="0.45">
      <c r="A335" s="3">
        <v>46111</v>
      </c>
      <c r="B335">
        <f t="shared" si="5"/>
        <v>2</v>
      </c>
      <c r="C335" s="4">
        <v>13833</v>
      </c>
    </row>
    <row r="336" spans="1:3" x14ac:dyDescent="0.45">
      <c r="A336" s="3">
        <v>46112</v>
      </c>
      <c r="B336">
        <f t="shared" si="5"/>
        <v>3</v>
      </c>
      <c r="C336" s="4">
        <v>14798</v>
      </c>
    </row>
    <row r="337" spans="1:3" x14ac:dyDescent="0.45">
      <c r="A337" s="3">
        <v>46113</v>
      </c>
      <c r="B337">
        <f t="shared" si="5"/>
        <v>4</v>
      </c>
      <c r="C337" s="4">
        <v>14804</v>
      </c>
    </row>
    <row r="338" spans="1:3" x14ac:dyDescent="0.45">
      <c r="A338" s="3">
        <v>46114</v>
      </c>
      <c r="B338">
        <f t="shared" si="5"/>
        <v>5</v>
      </c>
      <c r="C338" s="4">
        <v>15419</v>
      </c>
    </row>
    <row r="339" spans="1:3" x14ac:dyDescent="0.45">
      <c r="A339" s="3">
        <v>46115</v>
      </c>
      <c r="B339">
        <f t="shared" si="5"/>
        <v>6</v>
      </c>
      <c r="C339" s="4">
        <v>14969</v>
      </c>
    </row>
    <row r="340" spans="1:3" x14ac:dyDescent="0.45">
      <c r="A340" s="3">
        <v>46116</v>
      </c>
      <c r="B340">
        <f t="shared" si="5"/>
        <v>7</v>
      </c>
      <c r="C340" s="4">
        <v>16455</v>
      </c>
    </row>
    <row r="341" spans="1:3" x14ac:dyDescent="0.45">
      <c r="A341" s="3">
        <v>46117</v>
      </c>
      <c r="B341">
        <f t="shared" si="5"/>
        <v>1</v>
      </c>
      <c r="C341" s="4">
        <v>15348</v>
      </c>
    </row>
    <row r="342" spans="1:3" x14ac:dyDescent="0.45">
      <c r="A342" s="3">
        <v>46118</v>
      </c>
      <c r="B342">
        <f t="shared" si="5"/>
        <v>2</v>
      </c>
      <c r="C342" s="4">
        <v>13414</v>
      </c>
    </row>
    <row r="343" spans="1:3" x14ac:dyDescent="0.45">
      <c r="A343" s="3">
        <v>46119</v>
      </c>
      <c r="B343">
        <f t="shared" si="5"/>
        <v>3</v>
      </c>
      <c r="C343" s="4">
        <v>14639</v>
      </c>
    </row>
    <row r="344" spans="1:3" x14ac:dyDescent="0.45">
      <c r="A344" s="3">
        <v>46120</v>
      </c>
      <c r="B344">
        <f t="shared" si="5"/>
        <v>4</v>
      </c>
      <c r="C344" s="4">
        <v>14797</v>
      </c>
    </row>
    <row r="345" spans="1:3" x14ac:dyDescent="0.45">
      <c r="A345" s="3">
        <v>46121</v>
      </c>
      <c r="B345">
        <f t="shared" si="5"/>
        <v>5</v>
      </c>
      <c r="C345" s="4">
        <v>15142</v>
      </c>
    </row>
    <row r="346" spans="1:3" x14ac:dyDescent="0.45">
      <c r="A346" s="3">
        <v>46122</v>
      </c>
      <c r="B346">
        <f t="shared" si="5"/>
        <v>6</v>
      </c>
      <c r="C346" s="4">
        <v>15224</v>
      </c>
    </row>
    <row r="347" spans="1:3" x14ac:dyDescent="0.45">
      <c r="A347" s="3">
        <v>46123</v>
      </c>
      <c r="B347">
        <f t="shared" si="5"/>
        <v>7</v>
      </c>
      <c r="C347" s="4">
        <v>17146</v>
      </c>
    </row>
    <row r="348" spans="1:3" x14ac:dyDescent="0.45">
      <c r="A348" s="3">
        <v>46124</v>
      </c>
      <c r="B348">
        <f t="shared" si="5"/>
        <v>1</v>
      </c>
      <c r="C348" s="4">
        <v>16490</v>
      </c>
    </row>
    <row r="349" spans="1:3" x14ac:dyDescent="0.45">
      <c r="A349" s="3">
        <v>46125</v>
      </c>
      <c r="B349">
        <f t="shared" si="5"/>
        <v>2</v>
      </c>
      <c r="C349" s="4">
        <v>14152</v>
      </c>
    </row>
    <row r="350" spans="1:3" x14ac:dyDescent="0.45">
      <c r="A350" s="3">
        <v>46126</v>
      </c>
      <c r="B350">
        <f t="shared" si="5"/>
        <v>3</v>
      </c>
      <c r="C350" s="4">
        <v>13966</v>
      </c>
    </row>
    <row r="351" spans="1:3" x14ac:dyDescent="0.45">
      <c r="A351" s="3">
        <v>46127</v>
      </c>
      <c r="B351">
        <f t="shared" si="5"/>
        <v>4</v>
      </c>
      <c r="C351" s="4">
        <v>14824</v>
      </c>
    </row>
    <row r="352" spans="1:3" x14ac:dyDescent="0.45">
      <c r="A352" s="3">
        <v>46128</v>
      </c>
      <c r="B352">
        <f t="shared" si="5"/>
        <v>5</v>
      </c>
      <c r="C352" s="4">
        <v>14540</v>
      </c>
    </row>
    <row r="353" spans="1:3" x14ac:dyDescent="0.45">
      <c r="A353" s="3">
        <v>46129</v>
      </c>
      <c r="B353">
        <f t="shared" si="5"/>
        <v>6</v>
      </c>
      <c r="C353" s="4">
        <v>15841</v>
      </c>
    </row>
    <row r="354" spans="1:3" x14ac:dyDescent="0.45">
      <c r="A354" s="3">
        <v>46130</v>
      </c>
      <c r="B354">
        <f t="shared" si="5"/>
        <v>7</v>
      </c>
      <c r="C354" s="4">
        <v>17264</v>
      </c>
    </row>
    <row r="355" spans="1:3" x14ac:dyDescent="0.45">
      <c r="A355" s="3">
        <v>46131</v>
      </c>
      <c r="B355">
        <f t="shared" si="5"/>
        <v>1</v>
      </c>
      <c r="C355" s="4">
        <v>16132</v>
      </c>
    </row>
    <row r="356" spans="1:3" x14ac:dyDescent="0.45">
      <c r="A356" s="3">
        <v>46132</v>
      </c>
      <c r="B356">
        <f t="shared" si="5"/>
        <v>2</v>
      </c>
      <c r="C356" s="4">
        <v>13931</v>
      </c>
    </row>
    <row r="357" spans="1:3" x14ac:dyDescent="0.45">
      <c r="A357" s="3">
        <v>46133</v>
      </c>
      <c r="B357">
        <f t="shared" si="5"/>
        <v>3</v>
      </c>
      <c r="C357" s="4">
        <v>14768</v>
      </c>
    </row>
    <row r="358" spans="1:3" x14ac:dyDescent="0.45">
      <c r="A358" s="3">
        <v>46134</v>
      </c>
      <c r="B358">
        <f t="shared" si="5"/>
        <v>4</v>
      </c>
      <c r="C358" s="4">
        <v>15417</v>
      </c>
    </row>
    <row r="359" spans="1:3" x14ac:dyDescent="0.45">
      <c r="A359" s="3">
        <v>46135</v>
      </c>
      <c r="B359">
        <f t="shared" si="5"/>
        <v>5</v>
      </c>
      <c r="C359" s="4">
        <v>14956</v>
      </c>
    </row>
    <row r="360" spans="1:3" x14ac:dyDescent="0.45">
      <c r="A360" s="3">
        <v>46136</v>
      </c>
      <c r="B360">
        <f t="shared" si="5"/>
        <v>6</v>
      </c>
      <c r="C360" s="4">
        <v>15179</v>
      </c>
    </row>
    <row r="361" spans="1:3" x14ac:dyDescent="0.45">
      <c r="A361" s="3">
        <v>46137</v>
      </c>
      <c r="B361">
        <f t="shared" si="5"/>
        <v>7</v>
      </c>
      <c r="C361" s="4">
        <v>16788</v>
      </c>
    </row>
    <row r="362" spans="1:3" x14ac:dyDescent="0.45">
      <c r="A362" s="3">
        <v>46138</v>
      </c>
      <c r="B362">
        <f t="shared" si="5"/>
        <v>1</v>
      </c>
      <c r="C362" s="4">
        <v>15708</v>
      </c>
    </row>
    <row r="363" spans="1:3" x14ac:dyDescent="0.45">
      <c r="A363" s="3">
        <v>46139</v>
      </c>
      <c r="B363">
        <f t="shared" si="5"/>
        <v>2</v>
      </c>
      <c r="C363" s="4">
        <v>13546</v>
      </c>
    </row>
    <row r="364" spans="1:3" x14ac:dyDescent="0.45">
      <c r="A364" s="3">
        <v>46140</v>
      </c>
      <c r="B364">
        <f t="shared" si="5"/>
        <v>3</v>
      </c>
      <c r="C364" s="4">
        <v>14219</v>
      </c>
    </row>
    <row r="365" spans="1:3" x14ac:dyDescent="0.45">
      <c r="A365" s="3">
        <v>46141</v>
      </c>
      <c r="B365">
        <f t="shared" si="5"/>
        <v>4</v>
      </c>
      <c r="C365" s="4">
        <v>14486</v>
      </c>
    </row>
    <row r="366" spans="1:3" x14ac:dyDescent="0.45">
      <c r="A366" s="3">
        <v>46142</v>
      </c>
      <c r="B366">
        <f t="shared" si="5"/>
        <v>5</v>
      </c>
      <c r="C366" s="4">
        <v>14934</v>
      </c>
    </row>
    <row r="367" spans="1:3" x14ac:dyDescent="0.45">
      <c r="A367" s="3">
        <v>46143</v>
      </c>
      <c r="B367">
        <f t="shared" si="5"/>
        <v>6</v>
      </c>
      <c r="C367" s="4">
        <v>15518</v>
      </c>
    </row>
    <row r="368" spans="1:3" x14ac:dyDescent="0.45">
      <c r="A368" s="3">
        <v>46144</v>
      </c>
      <c r="B368">
        <f t="shared" si="5"/>
        <v>7</v>
      </c>
      <c r="C368" s="4">
        <v>16468</v>
      </c>
    </row>
    <row r="369" spans="1:3" x14ac:dyDescent="0.45">
      <c r="A369" s="3">
        <v>46145</v>
      </c>
      <c r="B369">
        <f t="shared" si="5"/>
        <v>1</v>
      </c>
      <c r="C369" s="4">
        <v>15523</v>
      </c>
    </row>
    <row r="370" spans="1:3" x14ac:dyDescent="0.45">
      <c r="A370" s="3">
        <v>46146</v>
      </c>
      <c r="B370">
        <f t="shared" si="5"/>
        <v>2</v>
      </c>
      <c r="C370" s="4">
        <v>14198</v>
      </c>
    </row>
    <row r="371" spans="1:3" x14ac:dyDescent="0.45">
      <c r="A371" s="3">
        <v>46147</v>
      </c>
      <c r="B371">
        <f t="shared" si="5"/>
        <v>3</v>
      </c>
      <c r="C371" s="4">
        <v>13981</v>
      </c>
    </row>
    <row r="372" spans="1:3" x14ac:dyDescent="0.45">
      <c r="A372" s="3">
        <v>46148</v>
      </c>
      <c r="B372">
        <f t="shared" si="5"/>
        <v>4</v>
      </c>
      <c r="C372" s="4">
        <v>14686</v>
      </c>
    </row>
    <row r="373" spans="1:3" x14ac:dyDescent="0.45">
      <c r="A373" s="3">
        <v>46149</v>
      </c>
      <c r="B373">
        <f t="shared" si="5"/>
        <v>5</v>
      </c>
      <c r="C373" s="4">
        <v>15583</v>
      </c>
    </row>
    <row r="374" spans="1:3" x14ac:dyDescent="0.45">
      <c r="A374" s="3">
        <v>46150</v>
      </c>
      <c r="B374">
        <f t="shared" si="5"/>
        <v>6</v>
      </c>
      <c r="C374" s="4">
        <v>15700</v>
      </c>
    </row>
    <row r="375" spans="1:3" x14ac:dyDescent="0.45">
      <c r="A375" s="3">
        <v>46151</v>
      </c>
      <c r="B375">
        <f t="shared" si="5"/>
        <v>7</v>
      </c>
      <c r="C375" s="4">
        <v>17051</v>
      </c>
    </row>
    <row r="376" spans="1:3" x14ac:dyDescent="0.45">
      <c r="A376" s="3">
        <v>46152</v>
      </c>
      <c r="B376">
        <f t="shared" si="5"/>
        <v>1</v>
      </c>
      <c r="C376" s="4">
        <v>16501</v>
      </c>
    </row>
    <row r="377" spans="1:3" x14ac:dyDescent="0.45">
      <c r="A377" s="3">
        <v>46153</v>
      </c>
      <c r="B377">
        <f t="shared" si="5"/>
        <v>2</v>
      </c>
      <c r="C377" s="4">
        <v>14194</v>
      </c>
    </row>
    <row r="378" spans="1:3" x14ac:dyDescent="0.45">
      <c r="A378" s="3">
        <v>46154</v>
      </c>
      <c r="B378">
        <f t="shared" si="5"/>
        <v>3</v>
      </c>
      <c r="C378" s="4">
        <v>14342</v>
      </c>
    </row>
    <row r="379" spans="1:3" x14ac:dyDescent="0.45">
      <c r="A379" s="3">
        <v>46155</v>
      </c>
      <c r="B379">
        <f t="shared" si="5"/>
        <v>4</v>
      </c>
      <c r="C379" s="4">
        <v>15448</v>
      </c>
    </row>
    <row r="380" spans="1:3" x14ac:dyDescent="0.45">
      <c r="A380" s="3">
        <v>46156</v>
      </c>
      <c r="B380">
        <f t="shared" si="5"/>
        <v>5</v>
      </c>
      <c r="C380" s="4">
        <v>14997</v>
      </c>
    </row>
    <row r="381" spans="1:3" x14ac:dyDescent="0.45">
      <c r="A381" s="3">
        <v>46157</v>
      </c>
      <c r="B381">
        <f t="shared" si="5"/>
        <v>6</v>
      </c>
      <c r="C381" s="4">
        <v>15640</v>
      </c>
    </row>
    <row r="382" spans="1:3" x14ac:dyDescent="0.45">
      <c r="A382" s="3">
        <v>46158</v>
      </c>
      <c r="B382">
        <f t="shared" si="5"/>
        <v>7</v>
      </c>
      <c r="C382" s="4">
        <v>17206</v>
      </c>
    </row>
    <row r="383" spans="1:3" x14ac:dyDescent="0.45">
      <c r="A383" s="3">
        <v>46159</v>
      </c>
      <c r="B383">
        <f t="shared" si="5"/>
        <v>1</v>
      </c>
      <c r="C383" s="4">
        <v>15337</v>
      </c>
    </row>
    <row r="384" spans="1:3" x14ac:dyDescent="0.45">
      <c r="A384" s="3">
        <v>46160</v>
      </c>
      <c r="B384">
        <f t="shared" si="5"/>
        <v>2</v>
      </c>
      <c r="C384" s="4">
        <v>14265</v>
      </c>
    </row>
    <row r="385" spans="1:3" x14ac:dyDescent="0.45">
      <c r="A385" s="3">
        <v>46161</v>
      </c>
      <c r="B385">
        <f t="shared" si="5"/>
        <v>3</v>
      </c>
      <c r="C385" s="4">
        <v>14632</v>
      </c>
    </row>
    <row r="386" spans="1:3" x14ac:dyDescent="0.45">
      <c r="A386" s="3">
        <v>46162</v>
      </c>
      <c r="B386">
        <f t="shared" ref="B386:B449" si="6">WEEKDAY(A386,1)</f>
        <v>4</v>
      </c>
      <c r="C386" s="4">
        <v>14648</v>
      </c>
    </row>
    <row r="387" spans="1:3" x14ac:dyDescent="0.45">
      <c r="A387" s="3">
        <v>46163</v>
      </c>
      <c r="B387">
        <f t="shared" si="6"/>
        <v>5</v>
      </c>
      <c r="C387" s="4">
        <v>15400</v>
      </c>
    </row>
    <row r="388" spans="1:3" x14ac:dyDescent="0.45">
      <c r="A388" s="3">
        <v>46164</v>
      </c>
      <c r="B388">
        <f t="shared" si="6"/>
        <v>6</v>
      </c>
      <c r="C388" s="4">
        <v>15323</v>
      </c>
    </row>
    <row r="389" spans="1:3" x14ac:dyDescent="0.45">
      <c r="A389" s="3">
        <v>46165</v>
      </c>
      <c r="B389">
        <f t="shared" si="6"/>
        <v>7</v>
      </c>
      <c r="C389" s="4">
        <v>16545</v>
      </c>
    </row>
    <row r="390" spans="1:3" x14ac:dyDescent="0.45">
      <c r="A390" s="3">
        <v>46166</v>
      </c>
      <c r="B390">
        <f t="shared" si="6"/>
        <v>1</v>
      </c>
      <c r="C390" s="4">
        <v>16348</v>
      </c>
    </row>
    <row r="391" spans="1:3" x14ac:dyDescent="0.45">
      <c r="A391" s="3">
        <v>46167</v>
      </c>
      <c r="B391">
        <f t="shared" si="6"/>
        <v>2</v>
      </c>
      <c r="C391" s="4">
        <v>14105</v>
      </c>
    </row>
    <row r="392" spans="1:3" x14ac:dyDescent="0.45">
      <c r="A392" s="3">
        <v>46168</v>
      </c>
      <c r="B392">
        <f t="shared" si="6"/>
        <v>3</v>
      </c>
      <c r="C392" s="4">
        <v>14025</v>
      </c>
    </row>
    <row r="393" spans="1:3" x14ac:dyDescent="0.45">
      <c r="A393" s="3">
        <v>46169</v>
      </c>
      <c r="B393">
        <f t="shared" si="6"/>
        <v>4</v>
      </c>
      <c r="C393" s="4">
        <v>14601</v>
      </c>
    </row>
    <row r="394" spans="1:3" x14ac:dyDescent="0.45">
      <c r="A394" s="3">
        <v>46170</v>
      </c>
      <c r="B394">
        <f t="shared" si="6"/>
        <v>5</v>
      </c>
      <c r="C394" s="4">
        <v>14625</v>
      </c>
    </row>
    <row r="395" spans="1:3" x14ac:dyDescent="0.45">
      <c r="A395" s="3">
        <v>46171</v>
      </c>
      <c r="B395">
        <f t="shared" si="6"/>
        <v>6</v>
      </c>
      <c r="C395" s="4">
        <v>15463</v>
      </c>
    </row>
    <row r="396" spans="1:3" x14ac:dyDescent="0.45">
      <c r="A396" s="3">
        <v>46172</v>
      </c>
      <c r="B396">
        <f t="shared" si="6"/>
        <v>7</v>
      </c>
      <c r="C396" s="4">
        <v>16440</v>
      </c>
    </row>
    <row r="397" spans="1:3" x14ac:dyDescent="0.45">
      <c r="A397" s="3">
        <v>46173</v>
      </c>
      <c r="B397">
        <f t="shared" si="6"/>
        <v>1</v>
      </c>
      <c r="C397" s="4">
        <v>15989</v>
      </c>
    </row>
    <row r="398" spans="1:3" x14ac:dyDescent="0.45">
      <c r="A398" s="3">
        <v>46174</v>
      </c>
      <c r="B398">
        <f t="shared" si="6"/>
        <v>2</v>
      </c>
      <c r="C398" s="4">
        <v>13672</v>
      </c>
    </row>
    <row r="399" spans="1:3" x14ac:dyDescent="0.45">
      <c r="A399" s="3">
        <v>46175</v>
      </c>
      <c r="B399">
        <f t="shared" si="6"/>
        <v>3</v>
      </c>
      <c r="C399" s="4">
        <v>14359</v>
      </c>
    </row>
    <row r="400" spans="1:3" x14ac:dyDescent="0.45">
      <c r="A400" s="3">
        <v>46176</v>
      </c>
      <c r="B400">
        <f t="shared" si="6"/>
        <v>4</v>
      </c>
      <c r="C400" s="4">
        <v>14779</v>
      </c>
    </row>
    <row r="401" spans="1:3" x14ac:dyDescent="0.45">
      <c r="A401" s="3">
        <v>46177</v>
      </c>
      <c r="B401">
        <f t="shared" si="6"/>
        <v>5</v>
      </c>
      <c r="C401" s="4">
        <v>14791</v>
      </c>
    </row>
    <row r="402" spans="1:3" x14ac:dyDescent="0.45">
      <c r="A402" s="3">
        <v>46178</v>
      </c>
      <c r="B402">
        <f t="shared" si="6"/>
        <v>6</v>
      </c>
      <c r="C402" s="4">
        <v>15290</v>
      </c>
    </row>
    <row r="403" spans="1:3" x14ac:dyDescent="0.45">
      <c r="A403" s="3">
        <v>46179</v>
      </c>
      <c r="B403">
        <f t="shared" si="6"/>
        <v>7</v>
      </c>
      <c r="C403" s="4">
        <v>17664</v>
      </c>
    </row>
    <row r="404" spans="1:3" x14ac:dyDescent="0.45">
      <c r="A404" s="3">
        <v>46180</v>
      </c>
      <c r="B404">
        <f t="shared" si="6"/>
        <v>1</v>
      </c>
      <c r="C404" s="4">
        <v>15860</v>
      </c>
    </row>
    <row r="405" spans="1:3" x14ac:dyDescent="0.45">
      <c r="A405" s="3">
        <v>46181</v>
      </c>
      <c r="B405">
        <f t="shared" si="6"/>
        <v>2</v>
      </c>
      <c r="C405" s="4">
        <v>13484</v>
      </c>
    </row>
    <row r="406" spans="1:3" x14ac:dyDescent="0.45">
      <c r="A406" s="3">
        <v>46182</v>
      </c>
      <c r="B406">
        <f t="shared" si="6"/>
        <v>3</v>
      </c>
      <c r="C406" s="4">
        <v>13912</v>
      </c>
    </row>
    <row r="407" spans="1:3" x14ac:dyDescent="0.45">
      <c r="A407" s="3">
        <v>46183</v>
      </c>
      <c r="B407">
        <f t="shared" si="6"/>
        <v>4</v>
      </c>
      <c r="C407" s="4">
        <v>14439</v>
      </c>
    </row>
    <row r="408" spans="1:3" x14ac:dyDescent="0.45">
      <c r="A408" s="3">
        <v>46184</v>
      </c>
      <c r="B408">
        <f t="shared" si="6"/>
        <v>5</v>
      </c>
      <c r="C408" s="4">
        <v>15472</v>
      </c>
    </row>
    <row r="409" spans="1:3" x14ac:dyDescent="0.45">
      <c r="A409" s="3">
        <v>46185</v>
      </c>
      <c r="B409">
        <f t="shared" si="6"/>
        <v>6</v>
      </c>
      <c r="C409" s="4">
        <v>15570</v>
      </c>
    </row>
    <row r="410" spans="1:3" x14ac:dyDescent="0.45">
      <c r="A410" s="3">
        <v>46186</v>
      </c>
      <c r="B410">
        <f t="shared" si="6"/>
        <v>7</v>
      </c>
      <c r="C410" s="4">
        <v>16702</v>
      </c>
    </row>
    <row r="411" spans="1:3" x14ac:dyDescent="0.45">
      <c r="A411" s="3">
        <v>46187</v>
      </c>
      <c r="B411">
        <f t="shared" si="6"/>
        <v>1</v>
      </c>
      <c r="C411" s="4">
        <v>16127</v>
      </c>
    </row>
    <row r="412" spans="1:3" x14ac:dyDescent="0.45">
      <c r="A412" s="3">
        <v>46188</v>
      </c>
      <c r="B412">
        <f t="shared" si="6"/>
        <v>2</v>
      </c>
      <c r="C412" s="4">
        <v>13624</v>
      </c>
    </row>
    <row r="413" spans="1:3" x14ac:dyDescent="0.45">
      <c r="A413" s="3">
        <v>46189</v>
      </c>
      <c r="B413">
        <f t="shared" si="6"/>
        <v>3</v>
      </c>
      <c r="C413" s="4">
        <v>14541</v>
      </c>
    </row>
    <row r="414" spans="1:3" x14ac:dyDescent="0.45">
      <c r="A414" s="3">
        <v>46190</v>
      </c>
      <c r="B414">
        <f t="shared" si="6"/>
        <v>4</v>
      </c>
      <c r="C414" s="4">
        <v>14649</v>
      </c>
    </row>
    <row r="415" spans="1:3" x14ac:dyDescent="0.45">
      <c r="A415" s="3">
        <v>46191</v>
      </c>
      <c r="B415">
        <f t="shared" si="6"/>
        <v>5</v>
      </c>
      <c r="C415" s="4">
        <v>15746</v>
      </c>
    </row>
    <row r="416" spans="1:3" x14ac:dyDescent="0.45">
      <c r="A416" s="3">
        <v>46192</v>
      </c>
      <c r="B416">
        <f t="shared" si="6"/>
        <v>6</v>
      </c>
      <c r="C416" s="4">
        <v>15243</v>
      </c>
    </row>
    <row r="417" spans="1:3" x14ac:dyDescent="0.45">
      <c r="A417" s="3">
        <v>46193</v>
      </c>
      <c r="B417">
        <f t="shared" si="6"/>
        <v>7</v>
      </c>
      <c r="C417" s="4">
        <v>17086</v>
      </c>
    </row>
    <row r="418" spans="1:3" x14ac:dyDescent="0.45">
      <c r="A418" s="3">
        <v>46194</v>
      </c>
      <c r="B418">
        <f t="shared" si="6"/>
        <v>1</v>
      </c>
      <c r="C418" s="4">
        <v>16110</v>
      </c>
    </row>
    <row r="419" spans="1:3" x14ac:dyDescent="0.45">
      <c r="A419" s="3">
        <v>46195</v>
      </c>
      <c r="B419">
        <f t="shared" si="6"/>
        <v>2</v>
      </c>
      <c r="C419" s="4">
        <v>14114</v>
      </c>
    </row>
    <row r="420" spans="1:3" x14ac:dyDescent="0.45">
      <c r="A420" s="3">
        <v>46196</v>
      </c>
      <c r="B420">
        <f t="shared" si="6"/>
        <v>3</v>
      </c>
      <c r="C420" s="4">
        <v>14554</v>
      </c>
    </row>
    <row r="421" spans="1:3" x14ac:dyDescent="0.45">
      <c r="A421" s="3">
        <v>46197</v>
      </c>
      <c r="B421">
        <f t="shared" si="6"/>
        <v>4</v>
      </c>
      <c r="C421" s="4">
        <v>15375</v>
      </c>
    </row>
    <row r="422" spans="1:3" x14ac:dyDescent="0.45">
      <c r="A422" s="3">
        <v>46198</v>
      </c>
      <c r="B422">
        <f t="shared" si="6"/>
        <v>5</v>
      </c>
      <c r="C422" s="4">
        <v>14748</v>
      </c>
    </row>
    <row r="423" spans="1:3" x14ac:dyDescent="0.45">
      <c r="A423" s="3">
        <v>46199</v>
      </c>
      <c r="B423">
        <f t="shared" si="6"/>
        <v>6</v>
      </c>
      <c r="C423" s="4">
        <v>16023</v>
      </c>
    </row>
    <row r="424" spans="1:3" x14ac:dyDescent="0.45">
      <c r="A424" s="3">
        <v>46200</v>
      </c>
      <c r="B424">
        <f t="shared" si="6"/>
        <v>7</v>
      </c>
      <c r="C424" s="4">
        <v>17598</v>
      </c>
    </row>
    <row r="425" spans="1:3" x14ac:dyDescent="0.45">
      <c r="A425" s="3">
        <v>46201</v>
      </c>
      <c r="B425">
        <f t="shared" si="6"/>
        <v>1</v>
      </c>
      <c r="C425" s="4">
        <v>15515</v>
      </c>
    </row>
    <row r="426" spans="1:3" x14ac:dyDescent="0.45">
      <c r="A426" s="3">
        <v>46202</v>
      </c>
      <c r="B426">
        <f t="shared" si="6"/>
        <v>2</v>
      </c>
      <c r="C426" s="4">
        <v>14254</v>
      </c>
    </row>
    <row r="427" spans="1:3" x14ac:dyDescent="0.45">
      <c r="A427" s="3">
        <v>46203</v>
      </c>
      <c r="B427">
        <f t="shared" si="6"/>
        <v>3</v>
      </c>
      <c r="C427" s="4">
        <v>14500</v>
      </c>
    </row>
    <row r="428" spans="1:3" x14ac:dyDescent="0.45">
      <c r="A428" s="3">
        <v>46204</v>
      </c>
      <c r="B428">
        <f t="shared" si="6"/>
        <v>4</v>
      </c>
      <c r="C428" s="4">
        <v>14760</v>
      </c>
    </row>
    <row r="429" spans="1:3" x14ac:dyDescent="0.45">
      <c r="A429" s="3">
        <v>46205</v>
      </c>
      <c r="B429">
        <f t="shared" si="6"/>
        <v>5</v>
      </c>
      <c r="C429" s="4">
        <v>14729</v>
      </c>
    </row>
    <row r="430" spans="1:3" x14ac:dyDescent="0.45">
      <c r="A430" s="3">
        <v>46206</v>
      </c>
      <c r="B430">
        <f t="shared" si="6"/>
        <v>6</v>
      </c>
      <c r="C430" s="4">
        <v>15590</v>
      </c>
    </row>
    <row r="431" spans="1:3" x14ac:dyDescent="0.45">
      <c r="A431" s="3">
        <v>46207</v>
      </c>
      <c r="B431">
        <f t="shared" si="6"/>
        <v>7</v>
      </c>
      <c r="C431" s="4">
        <v>17119</v>
      </c>
    </row>
    <row r="432" spans="1:3" x14ac:dyDescent="0.45">
      <c r="A432" s="3">
        <v>46208</v>
      </c>
      <c r="B432">
        <f t="shared" si="6"/>
        <v>1</v>
      </c>
      <c r="C432" s="4">
        <v>16147</v>
      </c>
    </row>
    <row r="433" spans="1:3" x14ac:dyDescent="0.45">
      <c r="A433" s="3">
        <v>46209</v>
      </c>
      <c r="B433">
        <f t="shared" si="6"/>
        <v>2</v>
      </c>
      <c r="C433" s="4">
        <v>14199</v>
      </c>
    </row>
    <row r="434" spans="1:3" x14ac:dyDescent="0.45">
      <c r="A434" s="3">
        <v>46210</v>
      </c>
      <c r="B434">
        <f t="shared" si="6"/>
        <v>3</v>
      </c>
      <c r="C434" s="4">
        <v>14228</v>
      </c>
    </row>
    <row r="435" spans="1:3" x14ac:dyDescent="0.45">
      <c r="A435" s="3">
        <v>46211</v>
      </c>
      <c r="B435">
        <f t="shared" si="6"/>
        <v>4</v>
      </c>
      <c r="C435" s="4">
        <v>15287</v>
      </c>
    </row>
    <row r="436" spans="1:3" x14ac:dyDescent="0.45">
      <c r="A436" s="3">
        <v>46212</v>
      </c>
      <c r="B436">
        <f t="shared" si="6"/>
        <v>5</v>
      </c>
      <c r="C436" s="4">
        <v>15360</v>
      </c>
    </row>
    <row r="437" spans="1:3" x14ac:dyDescent="0.45">
      <c r="A437" s="3">
        <v>46213</v>
      </c>
      <c r="B437">
        <f t="shared" si="6"/>
        <v>6</v>
      </c>
      <c r="C437" s="4">
        <v>15529</v>
      </c>
    </row>
    <row r="438" spans="1:3" x14ac:dyDescent="0.45">
      <c r="A438" s="3">
        <v>46214</v>
      </c>
      <c r="B438">
        <f t="shared" si="6"/>
        <v>7</v>
      </c>
      <c r="C438" s="4">
        <v>17733</v>
      </c>
    </row>
    <row r="439" spans="1:3" x14ac:dyDescent="0.45">
      <c r="A439" s="3">
        <v>46215</v>
      </c>
      <c r="B439">
        <f t="shared" si="6"/>
        <v>1</v>
      </c>
      <c r="C439" s="4">
        <v>16111</v>
      </c>
    </row>
    <row r="440" spans="1:3" x14ac:dyDescent="0.45">
      <c r="A440" s="3">
        <v>46216</v>
      </c>
      <c r="B440">
        <f t="shared" si="6"/>
        <v>2</v>
      </c>
      <c r="C440" s="4">
        <v>13512</v>
      </c>
    </row>
    <row r="441" spans="1:3" x14ac:dyDescent="0.45">
      <c r="A441" s="3">
        <v>46217</v>
      </c>
      <c r="B441">
        <f t="shared" si="6"/>
        <v>3</v>
      </c>
      <c r="C441" s="4">
        <v>14919</v>
      </c>
    </row>
    <row r="442" spans="1:3" x14ac:dyDescent="0.45">
      <c r="A442" s="3">
        <v>46218</v>
      </c>
      <c r="B442">
        <f t="shared" si="6"/>
        <v>4</v>
      </c>
      <c r="C442" s="4">
        <v>15217</v>
      </c>
    </row>
    <row r="443" spans="1:3" x14ac:dyDescent="0.45">
      <c r="A443" s="3">
        <v>46219</v>
      </c>
      <c r="B443">
        <f t="shared" si="6"/>
        <v>5</v>
      </c>
      <c r="C443" s="4">
        <v>15097</v>
      </c>
    </row>
    <row r="444" spans="1:3" x14ac:dyDescent="0.45">
      <c r="A444" s="3">
        <v>46220</v>
      </c>
      <c r="B444">
        <f t="shared" si="6"/>
        <v>6</v>
      </c>
      <c r="C444" s="4">
        <v>15908</v>
      </c>
    </row>
    <row r="445" spans="1:3" x14ac:dyDescent="0.45">
      <c r="A445" s="3">
        <v>46221</v>
      </c>
      <c r="B445">
        <f t="shared" si="6"/>
        <v>7</v>
      </c>
      <c r="C445" s="4">
        <v>17159</v>
      </c>
    </row>
    <row r="446" spans="1:3" x14ac:dyDescent="0.45">
      <c r="A446" s="3">
        <v>46222</v>
      </c>
      <c r="B446">
        <f t="shared" si="6"/>
        <v>1</v>
      </c>
      <c r="C446" s="4">
        <v>16108</v>
      </c>
    </row>
    <row r="447" spans="1:3" x14ac:dyDescent="0.45">
      <c r="A447" s="3">
        <v>46223</v>
      </c>
      <c r="B447">
        <f t="shared" si="6"/>
        <v>2</v>
      </c>
      <c r="C447" s="4">
        <v>14374</v>
      </c>
    </row>
    <row r="448" spans="1:3" x14ac:dyDescent="0.45">
      <c r="A448" s="3">
        <v>46224</v>
      </c>
      <c r="B448">
        <f t="shared" si="6"/>
        <v>3</v>
      </c>
      <c r="C448" s="4">
        <v>14243</v>
      </c>
    </row>
    <row r="449" spans="1:3" x14ac:dyDescent="0.45">
      <c r="A449" s="3">
        <v>46225</v>
      </c>
      <c r="B449">
        <f t="shared" si="6"/>
        <v>4</v>
      </c>
      <c r="C449" s="4">
        <v>15219</v>
      </c>
    </row>
    <row r="450" spans="1:3" x14ac:dyDescent="0.45">
      <c r="A450" s="3">
        <v>46226</v>
      </c>
      <c r="B450">
        <f t="shared" ref="B450:B513" si="7">WEEKDAY(A450,1)</f>
        <v>5</v>
      </c>
      <c r="C450" s="4">
        <v>15262</v>
      </c>
    </row>
    <row r="451" spans="1:3" x14ac:dyDescent="0.45">
      <c r="A451" s="3">
        <v>46227</v>
      </c>
      <c r="B451">
        <f t="shared" si="7"/>
        <v>6</v>
      </c>
      <c r="C451" s="4">
        <v>15938</v>
      </c>
    </row>
    <row r="452" spans="1:3" x14ac:dyDescent="0.45">
      <c r="A452" s="3">
        <v>46228</v>
      </c>
      <c r="B452">
        <f t="shared" si="7"/>
        <v>7</v>
      </c>
      <c r="C452" s="4">
        <v>17466</v>
      </c>
    </row>
    <row r="453" spans="1:3" x14ac:dyDescent="0.45">
      <c r="A453" s="3">
        <v>46229</v>
      </c>
      <c r="B453">
        <f t="shared" si="7"/>
        <v>1</v>
      </c>
      <c r="C453" s="4">
        <v>16003</v>
      </c>
    </row>
    <row r="454" spans="1:3" x14ac:dyDescent="0.45">
      <c r="A454" s="3">
        <v>46230</v>
      </c>
      <c r="B454">
        <f t="shared" si="7"/>
        <v>2</v>
      </c>
      <c r="C454" s="4">
        <v>14075</v>
      </c>
    </row>
    <row r="455" spans="1:3" x14ac:dyDescent="0.45">
      <c r="A455" s="3">
        <v>46231</v>
      </c>
      <c r="B455">
        <f t="shared" si="7"/>
        <v>3</v>
      </c>
      <c r="C455" s="4">
        <v>14046</v>
      </c>
    </row>
    <row r="456" spans="1:3" x14ac:dyDescent="0.45">
      <c r="A456" s="3">
        <v>46232</v>
      </c>
      <c r="B456">
        <f t="shared" si="7"/>
        <v>4</v>
      </c>
      <c r="C456" s="4">
        <v>15505</v>
      </c>
    </row>
    <row r="457" spans="1:3" x14ac:dyDescent="0.45">
      <c r="A457" s="3">
        <v>46233</v>
      </c>
      <c r="B457">
        <f t="shared" si="7"/>
        <v>5</v>
      </c>
      <c r="C457" s="4">
        <v>14868</v>
      </c>
    </row>
    <row r="458" spans="1:3" x14ac:dyDescent="0.45">
      <c r="A458" s="3">
        <v>46234</v>
      </c>
      <c r="B458">
        <f t="shared" si="7"/>
        <v>6</v>
      </c>
      <c r="C458" s="4">
        <v>16033</v>
      </c>
    </row>
    <row r="459" spans="1:3" x14ac:dyDescent="0.45">
      <c r="A459" s="3">
        <v>46235</v>
      </c>
      <c r="B459">
        <f t="shared" si="7"/>
        <v>7</v>
      </c>
      <c r="C459" s="4">
        <v>16745</v>
      </c>
    </row>
    <row r="460" spans="1:3" x14ac:dyDescent="0.45">
      <c r="A460" s="3">
        <v>46236</v>
      </c>
      <c r="B460">
        <f t="shared" si="7"/>
        <v>1</v>
      </c>
      <c r="C460" s="4">
        <v>16031</v>
      </c>
    </row>
    <row r="461" spans="1:3" x14ac:dyDescent="0.45">
      <c r="A461" s="3">
        <v>46237</v>
      </c>
      <c r="B461">
        <f t="shared" si="7"/>
        <v>2</v>
      </c>
      <c r="C461" s="4">
        <v>14397</v>
      </c>
    </row>
    <row r="462" spans="1:3" x14ac:dyDescent="0.45">
      <c r="A462" s="3">
        <v>46238</v>
      </c>
      <c r="B462">
        <f t="shared" si="7"/>
        <v>3</v>
      </c>
      <c r="C462" s="4">
        <v>14786</v>
      </c>
    </row>
    <row r="463" spans="1:3" x14ac:dyDescent="0.45">
      <c r="A463" s="3">
        <v>46239</v>
      </c>
      <c r="B463">
        <f t="shared" si="7"/>
        <v>4</v>
      </c>
      <c r="C463" s="4">
        <v>15034</v>
      </c>
    </row>
    <row r="464" spans="1:3" x14ac:dyDescent="0.45">
      <c r="A464" s="3">
        <v>46240</v>
      </c>
      <c r="B464">
        <f t="shared" si="7"/>
        <v>5</v>
      </c>
      <c r="C464" s="4">
        <v>15794</v>
      </c>
    </row>
    <row r="465" spans="1:3" x14ac:dyDescent="0.45">
      <c r="A465" s="3">
        <v>46241</v>
      </c>
      <c r="B465">
        <f t="shared" si="7"/>
        <v>6</v>
      </c>
      <c r="C465" s="4">
        <v>16257</v>
      </c>
    </row>
    <row r="466" spans="1:3" x14ac:dyDescent="0.45">
      <c r="A466" s="3">
        <v>46242</v>
      </c>
      <c r="B466">
        <f t="shared" si="7"/>
        <v>7</v>
      </c>
      <c r="C466" s="4">
        <v>16942</v>
      </c>
    </row>
    <row r="467" spans="1:3" x14ac:dyDescent="0.45">
      <c r="A467" s="3">
        <v>46243</v>
      </c>
      <c r="B467">
        <f t="shared" si="7"/>
        <v>1</v>
      </c>
      <c r="C467" s="4">
        <v>16124</v>
      </c>
    </row>
    <row r="468" spans="1:3" x14ac:dyDescent="0.45">
      <c r="A468" s="3">
        <v>46244</v>
      </c>
      <c r="B468">
        <f t="shared" si="7"/>
        <v>2</v>
      </c>
      <c r="C468" s="4">
        <v>13544</v>
      </c>
    </row>
    <row r="469" spans="1:3" x14ac:dyDescent="0.45">
      <c r="A469" s="3">
        <v>46245</v>
      </c>
      <c r="B469">
        <f t="shared" si="7"/>
        <v>3</v>
      </c>
      <c r="C469" s="4">
        <v>14941</v>
      </c>
    </row>
    <row r="470" spans="1:3" x14ac:dyDescent="0.45">
      <c r="A470" s="3">
        <v>46246</v>
      </c>
      <c r="B470">
        <f t="shared" si="7"/>
        <v>4</v>
      </c>
      <c r="C470" s="4">
        <v>14904</v>
      </c>
    </row>
    <row r="471" spans="1:3" x14ac:dyDescent="0.45">
      <c r="A471" s="3">
        <v>46247</v>
      </c>
      <c r="B471">
        <f t="shared" si="7"/>
        <v>5</v>
      </c>
      <c r="C471" s="4">
        <v>15129</v>
      </c>
    </row>
    <row r="472" spans="1:3" x14ac:dyDescent="0.45">
      <c r="A472" s="3">
        <v>46248</v>
      </c>
      <c r="B472">
        <f t="shared" si="7"/>
        <v>6</v>
      </c>
      <c r="C472" s="4">
        <v>15611</v>
      </c>
    </row>
    <row r="473" spans="1:3" x14ac:dyDescent="0.45">
      <c r="A473" s="3">
        <v>46249</v>
      </c>
      <c r="B473">
        <f t="shared" si="7"/>
        <v>7</v>
      </c>
      <c r="C473" s="4">
        <v>16790</v>
      </c>
    </row>
    <row r="474" spans="1:3" x14ac:dyDescent="0.45">
      <c r="A474" s="3">
        <v>46250</v>
      </c>
      <c r="B474">
        <f t="shared" si="7"/>
        <v>1</v>
      </c>
      <c r="C474" s="4">
        <v>15784</v>
      </c>
    </row>
    <row r="475" spans="1:3" x14ac:dyDescent="0.45">
      <c r="A475" s="3">
        <v>46251</v>
      </c>
      <c r="B475">
        <f t="shared" si="7"/>
        <v>2</v>
      </c>
      <c r="C475" s="4">
        <v>14512</v>
      </c>
    </row>
    <row r="476" spans="1:3" x14ac:dyDescent="0.45">
      <c r="A476" s="3">
        <v>46252</v>
      </c>
      <c r="B476">
        <f t="shared" si="7"/>
        <v>3</v>
      </c>
      <c r="C476" s="4">
        <v>14023</v>
      </c>
    </row>
    <row r="477" spans="1:3" x14ac:dyDescent="0.45">
      <c r="A477" s="3">
        <v>46253</v>
      </c>
      <c r="B477">
        <f t="shared" si="7"/>
        <v>4</v>
      </c>
      <c r="C477" s="4">
        <v>14438</v>
      </c>
    </row>
    <row r="478" spans="1:3" x14ac:dyDescent="0.45">
      <c r="A478" s="3">
        <v>46254</v>
      </c>
      <c r="B478">
        <f t="shared" si="7"/>
        <v>5</v>
      </c>
      <c r="C478" s="4">
        <v>14967</v>
      </c>
    </row>
    <row r="479" spans="1:3" x14ac:dyDescent="0.45">
      <c r="A479" s="3">
        <v>46255</v>
      </c>
      <c r="B479">
        <f t="shared" si="7"/>
        <v>6</v>
      </c>
      <c r="C479" s="4">
        <v>15639</v>
      </c>
    </row>
    <row r="480" spans="1:3" x14ac:dyDescent="0.45">
      <c r="A480" s="3">
        <v>46256</v>
      </c>
      <c r="B480">
        <f t="shared" si="7"/>
        <v>7</v>
      </c>
      <c r="C480" s="4">
        <v>17057</v>
      </c>
    </row>
    <row r="481" spans="1:3" x14ac:dyDescent="0.45">
      <c r="A481" s="3">
        <v>46257</v>
      </c>
      <c r="B481">
        <f t="shared" si="7"/>
        <v>1</v>
      </c>
      <c r="C481" s="4">
        <v>15475</v>
      </c>
    </row>
    <row r="482" spans="1:3" x14ac:dyDescent="0.45">
      <c r="A482" s="3">
        <v>46258</v>
      </c>
      <c r="B482">
        <f t="shared" si="7"/>
        <v>2</v>
      </c>
      <c r="C482" s="4">
        <v>14417</v>
      </c>
    </row>
    <row r="483" spans="1:3" x14ac:dyDescent="0.45">
      <c r="A483" s="3">
        <v>46259</v>
      </c>
      <c r="B483">
        <f t="shared" si="7"/>
        <v>3</v>
      </c>
      <c r="C483" s="4">
        <v>14669</v>
      </c>
    </row>
    <row r="484" spans="1:3" x14ac:dyDescent="0.45">
      <c r="A484" s="3">
        <v>46260</v>
      </c>
      <c r="B484">
        <f t="shared" si="7"/>
        <v>4</v>
      </c>
      <c r="C484" s="4">
        <v>15450</v>
      </c>
    </row>
    <row r="485" spans="1:3" x14ac:dyDescent="0.45">
      <c r="A485" s="3">
        <v>46261</v>
      </c>
      <c r="B485">
        <f t="shared" si="7"/>
        <v>5</v>
      </c>
      <c r="C485" s="4">
        <v>15175</v>
      </c>
    </row>
    <row r="486" spans="1:3" x14ac:dyDescent="0.45">
      <c r="A486" s="3">
        <v>46262</v>
      </c>
      <c r="B486">
        <f t="shared" si="7"/>
        <v>6</v>
      </c>
      <c r="C486" s="4">
        <v>15613</v>
      </c>
    </row>
    <row r="487" spans="1:3" x14ac:dyDescent="0.45">
      <c r="A487" s="3">
        <v>46263</v>
      </c>
      <c r="B487">
        <f t="shared" si="7"/>
        <v>7</v>
      </c>
      <c r="C487" s="4">
        <v>16999</v>
      </c>
    </row>
    <row r="488" spans="1:3" x14ac:dyDescent="0.45">
      <c r="A488" s="3">
        <v>46264</v>
      </c>
      <c r="B488">
        <f t="shared" si="7"/>
        <v>1</v>
      </c>
      <c r="C488" s="4">
        <v>15871</v>
      </c>
    </row>
    <row r="489" spans="1:3" x14ac:dyDescent="0.45">
      <c r="A489" s="3">
        <v>46265</v>
      </c>
      <c r="B489">
        <f t="shared" si="7"/>
        <v>2</v>
      </c>
      <c r="C489" s="4">
        <v>13759</v>
      </c>
    </row>
    <row r="490" spans="1:3" x14ac:dyDescent="0.45">
      <c r="A490" s="3">
        <v>46266</v>
      </c>
      <c r="B490">
        <f t="shared" si="7"/>
        <v>3</v>
      </c>
      <c r="C490" s="4">
        <v>14444</v>
      </c>
    </row>
    <row r="491" spans="1:3" x14ac:dyDescent="0.45">
      <c r="A491" s="3">
        <v>46267</v>
      </c>
      <c r="B491">
        <f t="shared" si="7"/>
        <v>4</v>
      </c>
      <c r="C491" s="4">
        <v>15019</v>
      </c>
    </row>
    <row r="492" spans="1:3" x14ac:dyDescent="0.45">
      <c r="A492" s="3">
        <v>46268</v>
      </c>
      <c r="B492">
        <f t="shared" si="7"/>
        <v>5</v>
      </c>
      <c r="C492" s="4">
        <v>15940</v>
      </c>
    </row>
    <row r="493" spans="1:3" x14ac:dyDescent="0.45">
      <c r="A493" s="3">
        <v>46269</v>
      </c>
      <c r="B493">
        <f t="shared" si="7"/>
        <v>6</v>
      </c>
      <c r="C493" s="4">
        <v>16108</v>
      </c>
    </row>
    <row r="494" spans="1:3" x14ac:dyDescent="0.45">
      <c r="A494" s="3">
        <v>46270</v>
      </c>
      <c r="B494">
        <f t="shared" si="7"/>
        <v>7</v>
      </c>
      <c r="C494" s="4">
        <v>17659</v>
      </c>
    </row>
    <row r="495" spans="1:3" x14ac:dyDescent="0.45">
      <c r="A495" s="3">
        <v>46271</v>
      </c>
      <c r="B495">
        <f t="shared" si="7"/>
        <v>1</v>
      </c>
      <c r="C495" s="4">
        <v>15957</v>
      </c>
    </row>
    <row r="496" spans="1:3" x14ac:dyDescent="0.45">
      <c r="A496" s="3">
        <v>46272</v>
      </c>
      <c r="B496">
        <f t="shared" si="7"/>
        <v>2</v>
      </c>
      <c r="C496" s="4">
        <v>14189</v>
      </c>
    </row>
    <row r="497" spans="1:3" x14ac:dyDescent="0.45">
      <c r="A497" s="3">
        <v>46273</v>
      </c>
      <c r="B497">
        <f t="shared" si="7"/>
        <v>3</v>
      </c>
      <c r="C497" s="4">
        <v>14418</v>
      </c>
    </row>
    <row r="498" spans="1:3" x14ac:dyDescent="0.45">
      <c r="A498" s="3">
        <v>46274</v>
      </c>
      <c r="B498">
        <f t="shared" si="7"/>
        <v>4</v>
      </c>
      <c r="C498" s="4">
        <v>15294</v>
      </c>
    </row>
    <row r="499" spans="1:3" x14ac:dyDescent="0.45">
      <c r="A499" s="3">
        <v>46275</v>
      </c>
      <c r="B499">
        <f t="shared" si="7"/>
        <v>5</v>
      </c>
      <c r="C499" s="4">
        <v>15632</v>
      </c>
    </row>
    <row r="500" spans="1:3" x14ac:dyDescent="0.45">
      <c r="A500" s="3">
        <v>46276</v>
      </c>
      <c r="B500">
        <f t="shared" si="7"/>
        <v>6</v>
      </c>
      <c r="C500" s="4">
        <v>16256</v>
      </c>
    </row>
    <row r="501" spans="1:3" x14ac:dyDescent="0.45">
      <c r="A501" s="3">
        <v>46277</v>
      </c>
      <c r="B501">
        <f t="shared" si="7"/>
        <v>7</v>
      </c>
      <c r="C501" s="4">
        <v>17435</v>
      </c>
    </row>
    <row r="502" spans="1:3" x14ac:dyDescent="0.45">
      <c r="A502" s="3">
        <v>46278</v>
      </c>
      <c r="B502">
        <f t="shared" si="7"/>
        <v>1</v>
      </c>
      <c r="C502" s="4">
        <v>16521</v>
      </c>
    </row>
    <row r="503" spans="1:3" x14ac:dyDescent="0.45">
      <c r="A503" s="3">
        <v>46279</v>
      </c>
      <c r="B503">
        <f t="shared" si="7"/>
        <v>2</v>
      </c>
      <c r="C503" s="4">
        <v>14190</v>
      </c>
    </row>
    <row r="504" spans="1:3" x14ac:dyDescent="0.45">
      <c r="A504" s="3">
        <v>46280</v>
      </c>
      <c r="B504">
        <f t="shared" si="7"/>
        <v>3</v>
      </c>
      <c r="C504" s="4">
        <v>14704</v>
      </c>
    </row>
    <row r="505" spans="1:3" x14ac:dyDescent="0.45">
      <c r="A505" s="3">
        <v>46281</v>
      </c>
      <c r="B505">
        <f t="shared" si="7"/>
        <v>4</v>
      </c>
      <c r="C505" s="4">
        <v>15210</v>
      </c>
    </row>
    <row r="506" spans="1:3" x14ac:dyDescent="0.45">
      <c r="A506" s="3">
        <v>46282</v>
      </c>
      <c r="B506">
        <f t="shared" si="7"/>
        <v>5</v>
      </c>
      <c r="C506" s="4">
        <v>15580</v>
      </c>
    </row>
    <row r="507" spans="1:3" x14ac:dyDescent="0.45">
      <c r="A507" s="3">
        <v>46283</v>
      </c>
      <c r="B507">
        <f t="shared" si="7"/>
        <v>6</v>
      </c>
      <c r="C507" s="4">
        <v>15640</v>
      </c>
    </row>
    <row r="508" spans="1:3" x14ac:dyDescent="0.45">
      <c r="A508" s="3">
        <v>46284</v>
      </c>
      <c r="B508">
        <f t="shared" si="7"/>
        <v>7</v>
      </c>
      <c r="C508" s="4">
        <v>17034</v>
      </c>
    </row>
    <row r="509" spans="1:3" x14ac:dyDescent="0.45">
      <c r="A509" s="3">
        <v>46285</v>
      </c>
      <c r="B509">
        <f t="shared" si="7"/>
        <v>1</v>
      </c>
      <c r="C509" s="4">
        <v>16343</v>
      </c>
    </row>
    <row r="510" spans="1:3" x14ac:dyDescent="0.45">
      <c r="A510" s="3">
        <v>46286</v>
      </c>
      <c r="B510">
        <f t="shared" si="7"/>
        <v>2</v>
      </c>
      <c r="C510" s="4">
        <v>14037</v>
      </c>
    </row>
    <row r="511" spans="1:3" x14ac:dyDescent="0.45">
      <c r="A511" s="3">
        <v>46287</v>
      </c>
      <c r="B511">
        <f t="shared" si="7"/>
        <v>3</v>
      </c>
      <c r="C511" s="4">
        <v>14406</v>
      </c>
    </row>
    <row r="512" spans="1:3" x14ac:dyDescent="0.45">
      <c r="A512" s="3">
        <v>46288</v>
      </c>
      <c r="B512">
        <f t="shared" si="7"/>
        <v>4</v>
      </c>
      <c r="C512" s="4">
        <v>14624</v>
      </c>
    </row>
    <row r="513" spans="1:3" x14ac:dyDescent="0.45">
      <c r="A513" s="3">
        <v>46289</v>
      </c>
      <c r="B513">
        <f t="shared" si="7"/>
        <v>5</v>
      </c>
      <c r="C513" s="4">
        <v>14938</v>
      </c>
    </row>
    <row r="514" spans="1:3" x14ac:dyDescent="0.45">
      <c r="A514" s="3">
        <v>46290</v>
      </c>
      <c r="B514">
        <f t="shared" ref="B514:B577" si="8">WEEKDAY(A514,1)</f>
        <v>6</v>
      </c>
      <c r="C514" s="4">
        <v>15522</v>
      </c>
    </row>
    <row r="515" spans="1:3" x14ac:dyDescent="0.45">
      <c r="A515" s="3">
        <v>46291</v>
      </c>
      <c r="B515">
        <f t="shared" si="8"/>
        <v>7</v>
      </c>
      <c r="C515" s="4">
        <v>17800</v>
      </c>
    </row>
    <row r="516" spans="1:3" x14ac:dyDescent="0.45">
      <c r="A516" s="3">
        <v>46292</v>
      </c>
      <c r="B516">
        <f t="shared" si="8"/>
        <v>1</v>
      </c>
      <c r="C516" s="4">
        <v>15511</v>
      </c>
    </row>
    <row r="517" spans="1:3" x14ac:dyDescent="0.45">
      <c r="A517" s="3">
        <v>46293</v>
      </c>
      <c r="B517">
        <f t="shared" si="8"/>
        <v>2</v>
      </c>
      <c r="C517" s="4">
        <v>13747</v>
      </c>
    </row>
    <row r="518" spans="1:3" x14ac:dyDescent="0.45">
      <c r="A518" s="3">
        <v>46294</v>
      </c>
      <c r="B518">
        <f t="shared" si="8"/>
        <v>3</v>
      </c>
      <c r="C518" s="4">
        <v>14939</v>
      </c>
    </row>
    <row r="519" spans="1:3" x14ac:dyDescent="0.45">
      <c r="A519" s="3">
        <v>46295</v>
      </c>
      <c r="B519">
        <f t="shared" si="8"/>
        <v>4</v>
      </c>
      <c r="C519" s="4">
        <v>15007</v>
      </c>
    </row>
    <row r="520" spans="1:3" x14ac:dyDescent="0.45">
      <c r="A520" s="3">
        <v>46296</v>
      </c>
      <c r="B520">
        <f t="shared" si="8"/>
        <v>5</v>
      </c>
      <c r="C520" s="4">
        <v>15054</v>
      </c>
    </row>
    <row r="521" spans="1:3" x14ac:dyDescent="0.45">
      <c r="A521" s="3">
        <v>46297</v>
      </c>
      <c r="B521">
        <f t="shared" si="8"/>
        <v>6</v>
      </c>
      <c r="C521" s="4">
        <v>15437</v>
      </c>
    </row>
    <row r="522" spans="1:3" x14ac:dyDescent="0.45">
      <c r="A522" s="3">
        <v>46298</v>
      </c>
      <c r="B522">
        <f t="shared" si="8"/>
        <v>7</v>
      </c>
      <c r="C522" s="4">
        <v>17291</v>
      </c>
    </row>
    <row r="523" spans="1:3" x14ac:dyDescent="0.45">
      <c r="A523" s="3">
        <v>46299</v>
      </c>
      <c r="B523">
        <f t="shared" si="8"/>
        <v>1</v>
      </c>
      <c r="C523" s="4">
        <v>16213</v>
      </c>
    </row>
    <row r="524" spans="1:3" x14ac:dyDescent="0.45">
      <c r="A524" s="3">
        <v>46300</v>
      </c>
      <c r="B524">
        <f t="shared" si="8"/>
        <v>2</v>
      </c>
      <c r="C524" s="4">
        <v>14136</v>
      </c>
    </row>
    <row r="525" spans="1:3" x14ac:dyDescent="0.45">
      <c r="A525" s="3">
        <v>46301</v>
      </c>
      <c r="B525">
        <f t="shared" si="8"/>
        <v>3</v>
      </c>
      <c r="C525" s="4">
        <v>14547</v>
      </c>
    </row>
    <row r="526" spans="1:3" x14ac:dyDescent="0.45">
      <c r="A526" s="3">
        <v>46302</v>
      </c>
      <c r="B526">
        <f t="shared" si="8"/>
        <v>4</v>
      </c>
      <c r="C526" s="4">
        <v>14937</v>
      </c>
    </row>
    <row r="527" spans="1:3" x14ac:dyDescent="0.45">
      <c r="A527" s="3">
        <v>46303</v>
      </c>
      <c r="B527">
        <f t="shared" si="8"/>
        <v>5</v>
      </c>
      <c r="C527" s="4">
        <v>15735</v>
      </c>
    </row>
    <row r="528" spans="1:3" x14ac:dyDescent="0.45">
      <c r="A528" s="3">
        <v>46304</v>
      </c>
      <c r="B528">
        <f t="shared" si="8"/>
        <v>6</v>
      </c>
      <c r="C528" s="4">
        <v>16002</v>
      </c>
    </row>
    <row r="529" spans="1:3" x14ac:dyDescent="0.45">
      <c r="A529" s="3">
        <v>46305</v>
      </c>
      <c r="B529">
        <f t="shared" si="8"/>
        <v>7</v>
      </c>
      <c r="C529" s="4">
        <v>17443</v>
      </c>
    </row>
    <row r="530" spans="1:3" x14ac:dyDescent="0.45">
      <c r="A530" s="3">
        <v>46306</v>
      </c>
      <c r="B530">
        <f t="shared" si="8"/>
        <v>1</v>
      </c>
      <c r="C530" s="4">
        <v>15731</v>
      </c>
    </row>
    <row r="531" spans="1:3" x14ac:dyDescent="0.45">
      <c r="A531" s="3">
        <v>46307</v>
      </c>
      <c r="B531">
        <f t="shared" si="8"/>
        <v>2</v>
      </c>
      <c r="C531" s="4">
        <v>13992</v>
      </c>
    </row>
    <row r="532" spans="1:3" x14ac:dyDescent="0.45">
      <c r="A532" s="3">
        <v>46308</v>
      </c>
      <c r="B532">
        <f t="shared" si="8"/>
        <v>3</v>
      </c>
      <c r="C532" s="4">
        <v>14631</v>
      </c>
    </row>
    <row r="533" spans="1:3" x14ac:dyDescent="0.45">
      <c r="A533" s="3">
        <v>46309</v>
      </c>
      <c r="B533">
        <f t="shared" si="8"/>
        <v>4</v>
      </c>
      <c r="C533" s="4">
        <v>15462</v>
      </c>
    </row>
    <row r="534" spans="1:3" x14ac:dyDescent="0.45">
      <c r="A534" s="3">
        <v>46310</v>
      </c>
      <c r="B534">
        <f t="shared" si="8"/>
        <v>5</v>
      </c>
      <c r="C534" s="4">
        <v>15657</v>
      </c>
    </row>
    <row r="535" spans="1:3" x14ac:dyDescent="0.45">
      <c r="A535" s="3">
        <v>46311</v>
      </c>
      <c r="B535">
        <f t="shared" si="8"/>
        <v>6</v>
      </c>
      <c r="C535" s="4">
        <v>15642</v>
      </c>
    </row>
    <row r="536" spans="1:3" x14ac:dyDescent="0.45">
      <c r="A536" s="3">
        <v>46312</v>
      </c>
      <c r="B536">
        <f t="shared" si="8"/>
        <v>7</v>
      </c>
      <c r="C536" s="4">
        <v>17177</v>
      </c>
    </row>
    <row r="537" spans="1:3" x14ac:dyDescent="0.45">
      <c r="A537" s="3">
        <v>46313</v>
      </c>
      <c r="B537">
        <f t="shared" si="8"/>
        <v>1</v>
      </c>
      <c r="C537" s="4">
        <v>16689</v>
      </c>
    </row>
    <row r="538" spans="1:3" x14ac:dyDescent="0.45">
      <c r="A538" s="3">
        <v>46314</v>
      </c>
      <c r="B538">
        <f t="shared" si="8"/>
        <v>2</v>
      </c>
      <c r="C538" s="4">
        <v>14425</v>
      </c>
    </row>
    <row r="539" spans="1:3" x14ac:dyDescent="0.45">
      <c r="A539" s="3">
        <v>46315</v>
      </c>
      <c r="B539">
        <f t="shared" si="8"/>
        <v>3</v>
      </c>
      <c r="C539" s="4">
        <v>14903</v>
      </c>
    </row>
    <row r="540" spans="1:3" x14ac:dyDescent="0.45">
      <c r="A540" s="3">
        <v>46316</v>
      </c>
      <c r="B540">
        <f t="shared" si="8"/>
        <v>4</v>
      </c>
      <c r="C540" s="4">
        <v>14667</v>
      </c>
    </row>
    <row r="541" spans="1:3" x14ac:dyDescent="0.45">
      <c r="A541" s="3">
        <v>46317</v>
      </c>
      <c r="B541">
        <f t="shared" si="8"/>
        <v>5</v>
      </c>
      <c r="C541" s="4">
        <v>15314</v>
      </c>
    </row>
    <row r="542" spans="1:3" x14ac:dyDescent="0.45">
      <c r="A542" s="3">
        <v>46318</v>
      </c>
      <c r="B542">
        <f t="shared" si="8"/>
        <v>6</v>
      </c>
      <c r="C542" s="4">
        <v>15306</v>
      </c>
    </row>
    <row r="543" spans="1:3" x14ac:dyDescent="0.45">
      <c r="A543" s="3">
        <v>46319</v>
      </c>
      <c r="B543">
        <f t="shared" si="8"/>
        <v>7</v>
      </c>
      <c r="C543" s="4">
        <v>16892</v>
      </c>
    </row>
    <row r="544" spans="1:3" x14ac:dyDescent="0.45">
      <c r="A544" s="3">
        <v>46320</v>
      </c>
      <c r="B544">
        <f t="shared" si="8"/>
        <v>1</v>
      </c>
      <c r="C544" s="4">
        <v>15737</v>
      </c>
    </row>
    <row r="545" spans="1:3" x14ac:dyDescent="0.45">
      <c r="A545" s="3">
        <v>46321</v>
      </c>
      <c r="B545">
        <f t="shared" si="8"/>
        <v>2</v>
      </c>
      <c r="C545" s="4">
        <v>13998</v>
      </c>
    </row>
    <row r="546" spans="1:3" x14ac:dyDescent="0.45">
      <c r="A546" s="3">
        <v>46322</v>
      </c>
      <c r="B546">
        <f t="shared" si="8"/>
        <v>3</v>
      </c>
      <c r="C546" s="4">
        <v>14637</v>
      </c>
    </row>
    <row r="547" spans="1:3" x14ac:dyDescent="0.45">
      <c r="A547" s="3">
        <v>46323</v>
      </c>
      <c r="B547">
        <f t="shared" si="8"/>
        <v>4</v>
      </c>
      <c r="C547" s="4">
        <v>14750</v>
      </c>
    </row>
    <row r="548" spans="1:3" x14ac:dyDescent="0.45">
      <c r="A548" s="3">
        <v>46324</v>
      </c>
      <c r="B548">
        <f t="shared" si="8"/>
        <v>5</v>
      </c>
      <c r="C548" s="4">
        <v>15666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91"/>
  <sheetViews>
    <sheetView workbookViewId="0"/>
  </sheetViews>
  <sheetFormatPr defaultRowHeight="14.25" x14ac:dyDescent="0.45"/>
  <cols>
    <col min="1" max="9" width="13" customWidth="1"/>
  </cols>
  <sheetData>
    <row r="1" spans="1:9" x14ac:dyDescent="0.45">
      <c r="A1" t="s">
        <v>56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45">
      <c r="A2" s="3">
        <v>46325</v>
      </c>
      <c r="B2" s="6">
        <f>AVERAGEIFS(History_DAD!$C$2:$C$548,History_DAD!$B$2:$B$548,WEEKDAY($A2,1),History_DAD!$A$2:$A$548,"&gt;="&amp;(Inputs!$B$4-Inputs!$B$10),History_DAD!$A$2:$A$548,"&lt;"&amp;Inputs!$B$4)</f>
        <v>35801.583333333336</v>
      </c>
      <c r="C2" s="6">
        <f>AVERAGEIFS(History_MAT!$C$2:$C$548,History_MAT!$B$2:$B$548,WEEKDAY($A2,1),History_MAT!$A$2:$A$548,"&gt;="&amp;(Inputs!$B$4-Inputs!$B$10),History_MAT!$A$2:$A$548,"&lt;"&amp;Inputs!$B$4)</f>
        <v>20049.083333333332</v>
      </c>
      <c r="D2" s="6">
        <f>AVERAGEIFS(History_SIO!$C$2:$C$548,History_SIO!$B$2:$B$548,WEEKDAY($A2,1),History_SIO!$A$2:$A$548,"&gt;="&amp;(Inputs!$B$4-Inputs!$B$10),History_SIO!$A$2:$A$548,"&lt;"&amp;Inputs!$B$4)</f>
        <v>15752.75</v>
      </c>
      <c r="E2" s="6">
        <f>IF(AND($A2&gt;=Inputs!$B$8,$A2&lt;=Inputs!$B$9),B2*Inputs!$B$6,B2)</f>
        <v>35801.583333333336</v>
      </c>
      <c r="F2" s="6">
        <f>IF(AND($A2&gt;=Inputs!$B$8,$A2&lt;=Inputs!$B$9),C2*Inputs!$B$7,C2)</f>
        <v>20049.083333333332</v>
      </c>
      <c r="G2" s="6">
        <f>IF(AND($A2&gt;=Inputs!$B$8,$A2&lt;=Inputs!$B$9),D2*Inputs!$B$7,D2)</f>
        <v>15752.75</v>
      </c>
      <c r="H2" s="6">
        <f t="shared" ref="H2:H33" si="0">E2+F2+G2</f>
        <v>71603.416666666672</v>
      </c>
      <c r="I2" s="6">
        <f>IF($A2&lt;Inputs!$B$8,Inputs!$B$11,IF($A2&lt;=Inputs!$B$9,Inputs!$B$12,Inputs!$B$11))</f>
        <v>70000</v>
      </c>
    </row>
    <row r="3" spans="1:9" x14ac:dyDescent="0.45">
      <c r="A3" s="3">
        <v>46326</v>
      </c>
      <c r="B3" s="6">
        <f>AVERAGEIFS(History_DAD!$C$2:$C$548,History_DAD!$B$2:$B$548,WEEKDAY($A3,1),History_DAD!$A$2:$A$548,"&gt;="&amp;(Inputs!$B$4-Inputs!$B$10),History_DAD!$A$2:$A$548,"&lt;"&amp;Inputs!$B$4)</f>
        <v>39113.333333333336</v>
      </c>
      <c r="C3" s="6">
        <f>AVERAGEIFS(History_MAT!$C$2:$C$548,History_MAT!$B$2:$B$548,WEEKDAY($A3,1),History_MAT!$A$2:$A$548,"&gt;="&amp;(Inputs!$B$4-Inputs!$B$10),History_MAT!$A$2:$A$548,"&lt;"&amp;Inputs!$B$4)</f>
        <v>21903.333333333332</v>
      </c>
      <c r="D3" s="6">
        <f>AVERAGEIFS(History_SIO!$C$2:$C$548,History_SIO!$B$2:$B$548,WEEKDAY($A3,1),History_SIO!$A$2:$A$548,"&gt;="&amp;(Inputs!$B$4-Inputs!$B$10),History_SIO!$A$2:$A$548,"&lt;"&amp;Inputs!$B$4)</f>
        <v>17209.916666666668</v>
      </c>
      <c r="E3" s="6">
        <f>IF(AND($A3&gt;=Inputs!$B$8,$A3&lt;=Inputs!$B$9),B3*Inputs!$B$6,B3)</f>
        <v>39113.333333333336</v>
      </c>
      <c r="F3" s="6">
        <f>IF(AND($A3&gt;=Inputs!$B$8,$A3&lt;=Inputs!$B$9),C3*Inputs!$B$7,C3)</f>
        <v>21903.333333333332</v>
      </c>
      <c r="G3" s="6">
        <f>IF(AND($A3&gt;=Inputs!$B$8,$A3&lt;=Inputs!$B$9),D3*Inputs!$B$7,D3)</f>
        <v>17209.916666666668</v>
      </c>
      <c r="H3" s="6">
        <f t="shared" si="0"/>
        <v>78226.583333333343</v>
      </c>
      <c r="I3" s="6">
        <f>IF($A3&lt;Inputs!$B$8,Inputs!$B$11,IF($A3&lt;=Inputs!$B$9,Inputs!$B$12,Inputs!$B$11))</f>
        <v>70000</v>
      </c>
    </row>
    <row r="4" spans="1:9" x14ac:dyDescent="0.45">
      <c r="A4" s="3">
        <v>46327</v>
      </c>
      <c r="B4" s="6">
        <f>AVERAGEIFS(History_DAD!$C$2:$C$548,History_DAD!$B$2:$B$548,WEEKDAY($A4,1),History_DAD!$A$2:$A$548,"&gt;="&amp;(Inputs!$B$4-Inputs!$B$10),History_DAD!$A$2:$A$548,"&lt;"&amp;Inputs!$B$4)</f>
        <v>36355.5</v>
      </c>
      <c r="C4" s="6">
        <f>AVERAGEIFS(History_MAT!$C$2:$C$548,History_MAT!$B$2:$B$548,WEEKDAY($A4,1),History_MAT!$A$2:$A$548,"&gt;="&amp;(Inputs!$B$4-Inputs!$B$10),History_MAT!$A$2:$A$548,"&lt;"&amp;Inputs!$B$4)</f>
        <v>20359.166666666668</v>
      </c>
      <c r="D4" s="6">
        <f>AVERAGEIFS(History_SIO!$C$2:$C$548,History_SIO!$B$2:$B$548,WEEKDAY($A4,1),History_SIO!$A$2:$A$548,"&gt;="&amp;(Inputs!$B$4-Inputs!$B$10),History_SIO!$A$2:$A$548,"&lt;"&amp;Inputs!$B$4)</f>
        <v>15996.333333333334</v>
      </c>
      <c r="E4" s="6">
        <f>IF(AND($A4&gt;=Inputs!$B$8,$A4&lt;=Inputs!$B$9),B4*Inputs!$B$6,B4)</f>
        <v>36355.5</v>
      </c>
      <c r="F4" s="6">
        <f>IF(AND($A4&gt;=Inputs!$B$8,$A4&lt;=Inputs!$B$9),C4*Inputs!$B$7,C4)</f>
        <v>20359.166666666668</v>
      </c>
      <c r="G4" s="6">
        <f>IF(AND($A4&gt;=Inputs!$B$8,$A4&lt;=Inputs!$B$9),D4*Inputs!$B$7,D4)</f>
        <v>15996.333333333334</v>
      </c>
      <c r="H4" s="6">
        <f t="shared" si="0"/>
        <v>72711</v>
      </c>
      <c r="I4" s="6">
        <f>IF($A4&lt;Inputs!$B$8,Inputs!$B$11,IF($A4&lt;=Inputs!$B$9,Inputs!$B$12,Inputs!$B$11))</f>
        <v>70000</v>
      </c>
    </row>
    <row r="5" spans="1:9" x14ac:dyDescent="0.45">
      <c r="A5" s="3">
        <v>46328</v>
      </c>
      <c r="B5" s="6">
        <f>AVERAGEIFS(History_DAD!$C$2:$C$548,History_DAD!$B$2:$B$548,WEEKDAY($A5,1),History_DAD!$A$2:$A$548,"&gt;="&amp;(Inputs!$B$4-Inputs!$B$10),History_DAD!$A$2:$A$548,"&lt;"&amp;Inputs!$B$4)</f>
        <v>31997.333333333332</v>
      </c>
      <c r="C5" s="6">
        <f>AVERAGEIFS(History_MAT!$C$2:$C$548,History_MAT!$B$2:$B$548,WEEKDAY($A5,1),History_MAT!$A$2:$A$548,"&gt;="&amp;(Inputs!$B$4-Inputs!$B$10),History_MAT!$A$2:$A$548,"&lt;"&amp;Inputs!$B$4)</f>
        <v>17918.5</v>
      </c>
      <c r="D5" s="6">
        <f>AVERAGEIFS(History_SIO!$C$2:$C$548,History_SIO!$B$2:$B$548,WEEKDAY($A5,1),History_SIO!$A$2:$A$548,"&gt;="&amp;(Inputs!$B$4-Inputs!$B$10),History_SIO!$A$2:$A$548,"&lt;"&amp;Inputs!$B$4)</f>
        <v>14078.833333333334</v>
      </c>
      <c r="E5" s="6">
        <f>IF(AND($A5&gt;=Inputs!$B$8,$A5&lt;=Inputs!$B$9),B5*Inputs!$B$6,B5)</f>
        <v>31997.333333333332</v>
      </c>
      <c r="F5" s="6">
        <f>IF(AND($A5&gt;=Inputs!$B$8,$A5&lt;=Inputs!$B$9),C5*Inputs!$B$7,C5)</f>
        <v>17918.5</v>
      </c>
      <c r="G5" s="6">
        <f>IF(AND($A5&gt;=Inputs!$B$8,$A5&lt;=Inputs!$B$9),D5*Inputs!$B$7,D5)</f>
        <v>14078.833333333334</v>
      </c>
      <c r="H5" s="6">
        <f t="shared" si="0"/>
        <v>63994.666666666664</v>
      </c>
      <c r="I5" s="6">
        <f>IF($A5&lt;Inputs!$B$8,Inputs!$B$11,IF($A5&lt;=Inputs!$B$9,Inputs!$B$12,Inputs!$B$11))</f>
        <v>70000</v>
      </c>
    </row>
    <row r="6" spans="1:9" x14ac:dyDescent="0.45">
      <c r="A6" s="3">
        <v>46329</v>
      </c>
      <c r="B6" s="6">
        <f>AVERAGEIFS(History_DAD!$C$2:$C$548,History_DAD!$B$2:$B$548,WEEKDAY($A6,1),History_DAD!$A$2:$A$548,"&gt;="&amp;(Inputs!$B$4-Inputs!$B$10),History_DAD!$A$2:$A$548,"&lt;"&amp;Inputs!$B$4)</f>
        <v>33193.5</v>
      </c>
      <c r="C6" s="6">
        <f>AVERAGEIFS(History_MAT!$C$2:$C$548,History_MAT!$B$2:$B$548,WEEKDAY($A6,1),History_MAT!$A$2:$A$548,"&gt;="&amp;(Inputs!$B$4-Inputs!$B$10),History_MAT!$A$2:$A$548,"&lt;"&amp;Inputs!$B$4)</f>
        <v>18588.25</v>
      </c>
      <c r="D6" s="6">
        <f>AVERAGEIFS(History_SIO!$C$2:$C$548,History_SIO!$B$2:$B$548,WEEKDAY($A6,1),History_SIO!$A$2:$A$548,"&gt;="&amp;(Inputs!$B$4-Inputs!$B$10),History_SIO!$A$2:$A$548,"&lt;"&amp;Inputs!$B$4)</f>
        <v>14605.166666666666</v>
      </c>
      <c r="E6" s="6">
        <f>IF(AND($A6&gt;=Inputs!$B$8,$A6&lt;=Inputs!$B$9),B6*Inputs!$B$6,B6)</f>
        <v>33193.5</v>
      </c>
      <c r="F6" s="6">
        <f>IF(AND($A6&gt;=Inputs!$B$8,$A6&lt;=Inputs!$B$9),C6*Inputs!$B$7,C6)</f>
        <v>18588.25</v>
      </c>
      <c r="G6" s="6">
        <f>IF(AND($A6&gt;=Inputs!$B$8,$A6&lt;=Inputs!$B$9),D6*Inputs!$B$7,D6)</f>
        <v>14605.166666666666</v>
      </c>
      <c r="H6" s="6">
        <f t="shared" si="0"/>
        <v>66386.916666666672</v>
      </c>
      <c r="I6" s="6">
        <f>IF($A6&lt;Inputs!$B$8,Inputs!$B$11,IF($A6&lt;=Inputs!$B$9,Inputs!$B$12,Inputs!$B$11))</f>
        <v>70000</v>
      </c>
    </row>
    <row r="7" spans="1:9" x14ac:dyDescent="0.45">
      <c r="A7" s="3">
        <v>46330</v>
      </c>
      <c r="B7" s="6">
        <f>AVERAGEIFS(History_DAD!$C$2:$C$548,History_DAD!$B$2:$B$548,WEEKDAY($A7,1),History_DAD!$A$2:$A$548,"&gt;="&amp;(Inputs!$B$4-Inputs!$B$10),History_DAD!$A$2:$A$548,"&lt;"&amp;Inputs!$B$4)</f>
        <v>34045.833333333336</v>
      </c>
      <c r="C7" s="6">
        <f>AVERAGEIFS(History_MAT!$C$2:$C$548,History_MAT!$B$2:$B$548,WEEKDAY($A7,1),History_MAT!$A$2:$A$548,"&gt;="&amp;(Inputs!$B$4-Inputs!$B$10),History_MAT!$A$2:$A$548,"&lt;"&amp;Inputs!$B$4)</f>
        <v>19065.583333333332</v>
      </c>
      <c r="D7" s="6">
        <f>AVERAGEIFS(History_SIO!$C$2:$C$548,History_SIO!$B$2:$B$548,WEEKDAY($A7,1),History_SIO!$A$2:$A$548,"&gt;="&amp;(Inputs!$B$4-Inputs!$B$10),History_SIO!$A$2:$A$548,"&lt;"&amp;Inputs!$B$4)</f>
        <v>14980.166666666666</v>
      </c>
      <c r="E7" s="6">
        <f>IF(AND($A7&gt;=Inputs!$B$8,$A7&lt;=Inputs!$B$9),B7*Inputs!$B$6,B7)</f>
        <v>61282.500000000007</v>
      </c>
      <c r="F7" s="6">
        <f>IF(AND($A7&gt;=Inputs!$B$8,$A7&lt;=Inputs!$B$9),C7*Inputs!$B$7,C7)</f>
        <v>28598.375</v>
      </c>
      <c r="G7" s="6">
        <f>IF(AND($A7&gt;=Inputs!$B$8,$A7&lt;=Inputs!$B$9),D7*Inputs!$B$7,D7)</f>
        <v>22470.25</v>
      </c>
      <c r="H7" s="6">
        <f t="shared" si="0"/>
        <v>112351.125</v>
      </c>
      <c r="I7" s="6">
        <f>IF($A7&lt;Inputs!$B$8,Inputs!$B$11,IF($A7&lt;=Inputs!$B$9,Inputs!$B$12,Inputs!$B$11))</f>
        <v>120000</v>
      </c>
    </row>
    <row r="8" spans="1:9" x14ac:dyDescent="0.45">
      <c r="A8" s="3">
        <v>46331</v>
      </c>
      <c r="B8" s="6">
        <f>AVERAGEIFS(History_DAD!$C$2:$C$548,History_DAD!$B$2:$B$548,WEEKDAY($A8,1),History_DAD!$A$2:$A$548,"&gt;="&amp;(Inputs!$B$4-Inputs!$B$10),History_DAD!$A$2:$A$548,"&lt;"&amp;Inputs!$B$4)</f>
        <v>34997.666666666664</v>
      </c>
      <c r="C8" s="6">
        <f>AVERAGEIFS(History_MAT!$C$2:$C$548,History_MAT!$B$2:$B$548,WEEKDAY($A8,1),History_MAT!$A$2:$A$548,"&gt;="&amp;(Inputs!$B$4-Inputs!$B$10),History_MAT!$A$2:$A$548,"&lt;"&amp;Inputs!$B$4)</f>
        <v>19598.75</v>
      </c>
      <c r="D8" s="6">
        <f>AVERAGEIFS(History_SIO!$C$2:$C$548,History_SIO!$B$2:$B$548,WEEKDAY($A8,1),History_SIO!$A$2:$A$548,"&gt;="&amp;(Inputs!$B$4-Inputs!$B$10),History_SIO!$A$2:$A$548,"&lt;"&amp;Inputs!$B$4)</f>
        <v>15398.916666666666</v>
      </c>
      <c r="E8" s="6">
        <f>IF(AND($A8&gt;=Inputs!$B$8,$A8&lt;=Inputs!$B$9),B8*Inputs!$B$6,B8)</f>
        <v>62995.799999999996</v>
      </c>
      <c r="F8" s="6">
        <f>IF(AND($A8&gt;=Inputs!$B$8,$A8&lt;=Inputs!$B$9),C8*Inputs!$B$7,C8)</f>
        <v>29398.125</v>
      </c>
      <c r="G8" s="6">
        <f>IF(AND($A8&gt;=Inputs!$B$8,$A8&lt;=Inputs!$B$9),D8*Inputs!$B$7,D8)</f>
        <v>23098.375</v>
      </c>
      <c r="H8" s="6">
        <f t="shared" si="0"/>
        <v>115492.29999999999</v>
      </c>
      <c r="I8" s="6">
        <f>IF($A8&lt;Inputs!$B$8,Inputs!$B$11,IF($A8&lt;=Inputs!$B$9,Inputs!$B$12,Inputs!$B$11))</f>
        <v>120000</v>
      </c>
    </row>
    <row r="9" spans="1:9" x14ac:dyDescent="0.45">
      <c r="A9" s="3">
        <v>46332</v>
      </c>
      <c r="B9" s="6">
        <f>AVERAGEIFS(History_DAD!$C$2:$C$548,History_DAD!$B$2:$B$548,WEEKDAY($A9,1),History_DAD!$A$2:$A$548,"&gt;="&amp;(Inputs!$B$4-Inputs!$B$10),History_DAD!$A$2:$A$548,"&lt;"&amp;Inputs!$B$4)</f>
        <v>35801.583333333336</v>
      </c>
      <c r="C9" s="6">
        <f>AVERAGEIFS(History_MAT!$C$2:$C$548,History_MAT!$B$2:$B$548,WEEKDAY($A9,1),History_MAT!$A$2:$A$548,"&gt;="&amp;(Inputs!$B$4-Inputs!$B$10),History_MAT!$A$2:$A$548,"&lt;"&amp;Inputs!$B$4)</f>
        <v>20049.083333333332</v>
      </c>
      <c r="D9" s="6">
        <f>AVERAGEIFS(History_SIO!$C$2:$C$548,History_SIO!$B$2:$B$548,WEEKDAY($A9,1),History_SIO!$A$2:$A$548,"&gt;="&amp;(Inputs!$B$4-Inputs!$B$10),History_SIO!$A$2:$A$548,"&lt;"&amp;Inputs!$B$4)</f>
        <v>15752.75</v>
      </c>
      <c r="E9" s="6">
        <f>IF(AND($A9&gt;=Inputs!$B$8,$A9&lt;=Inputs!$B$9),B9*Inputs!$B$6,B9)</f>
        <v>64442.850000000006</v>
      </c>
      <c r="F9" s="6">
        <f>IF(AND($A9&gt;=Inputs!$B$8,$A9&lt;=Inputs!$B$9),C9*Inputs!$B$7,C9)</f>
        <v>30073.625</v>
      </c>
      <c r="G9" s="6">
        <f>IF(AND($A9&gt;=Inputs!$B$8,$A9&lt;=Inputs!$B$9),D9*Inputs!$B$7,D9)</f>
        <v>23629.125</v>
      </c>
      <c r="H9" s="6">
        <f t="shared" si="0"/>
        <v>118145.60000000001</v>
      </c>
      <c r="I9" s="6">
        <f>IF($A9&lt;Inputs!$B$8,Inputs!$B$11,IF($A9&lt;=Inputs!$B$9,Inputs!$B$12,Inputs!$B$11))</f>
        <v>120000</v>
      </c>
    </row>
    <row r="10" spans="1:9" x14ac:dyDescent="0.45">
      <c r="A10" s="3">
        <v>46333</v>
      </c>
      <c r="B10" s="6">
        <f>AVERAGEIFS(History_DAD!$C$2:$C$548,History_DAD!$B$2:$B$548,WEEKDAY($A10,1),History_DAD!$A$2:$A$548,"&gt;="&amp;(Inputs!$B$4-Inputs!$B$10),History_DAD!$A$2:$A$548,"&lt;"&amp;Inputs!$B$4)</f>
        <v>39113.333333333336</v>
      </c>
      <c r="C10" s="6">
        <f>AVERAGEIFS(History_MAT!$C$2:$C$548,History_MAT!$B$2:$B$548,WEEKDAY($A10,1),History_MAT!$A$2:$A$548,"&gt;="&amp;(Inputs!$B$4-Inputs!$B$10),History_MAT!$A$2:$A$548,"&lt;"&amp;Inputs!$B$4)</f>
        <v>21903.333333333332</v>
      </c>
      <c r="D10" s="6">
        <f>AVERAGEIFS(History_SIO!$C$2:$C$548,History_SIO!$B$2:$B$548,WEEKDAY($A10,1),History_SIO!$A$2:$A$548,"&gt;="&amp;(Inputs!$B$4-Inputs!$B$10),History_SIO!$A$2:$A$548,"&lt;"&amp;Inputs!$B$4)</f>
        <v>17209.916666666668</v>
      </c>
      <c r="E10" s="6">
        <f>IF(AND($A10&gt;=Inputs!$B$8,$A10&lt;=Inputs!$B$9),B10*Inputs!$B$6,B10)</f>
        <v>70404</v>
      </c>
      <c r="F10" s="6">
        <f>IF(AND($A10&gt;=Inputs!$B$8,$A10&lt;=Inputs!$B$9),C10*Inputs!$B$7,C10)</f>
        <v>32855</v>
      </c>
      <c r="G10" s="6">
        <f>IF(AND($A10&gt;=Inputs!$B$8,$A10&lt;=Inputs!$B$9),D10*Inputs!$B$7,D10)</f>
        <v>25814.875</v>
      </c>
      <c r="H10" s="6">
        <f t="shared" si="0"/>
        <v>129073.875</v>
      </c>
      <c r="I10" s="6">
        <f>IF($A10&lt;Inputs!$B$8,Inputs!$B$11,IF($A10&lt;=Inputs!$B$9,Inputs!$B$12,Inputs!$B$11))</f>
        <v>120000</v>
      </c>
    </row>
    <row r="11" spans="1:9" x14ac:dyDescent="0.45">
      <c r="A11" s="3">
        <v>46334</v>
      </c>
      <c r="B11" s="6">
        <f>AVERAGEIFS(History_DAD!$C$2:$C$548,History_DAD!$B$2:$B$548,WEEKDAY($A11,1),History_DAD!$A$2:$A$548,"&gt;="&amp;(Inputs!$B$4-Inputs!$B$10),History_DAD!$A$2:$A$548,"&lt;"&amp;Inputs!$B$4)</f>
        <v>36355.5</v>
      </c>
      <c r="C11" s="6">
        <f>AVERAGEIFS(History_MAT!$C$2:$C$548,History_MAT!$B$2:$B$548,WEEKDAY($A11,1),History_MAT!$A$2:$A$548,"&gt;="&amp;(Inputs!$B$4-Inputs!$B$10),History_MAT!$A$2:$A$548,"&lt;"&amp;Inputs!$B$4)</f>
        <v>20359.166666666668</v>
      </c>
      <c r="D11" s="6">
        <f>AVERAGEIFS(History_SIO!$C$2:$C$548,History_SIO!$B$2:$B$548,WEEKDAY($A11,1),History_SIO!$A$2:$A$548,"&gt;="&amp;(Inputs!$B$4-Inputs!$B$10),History_SIO!$A$2:$A$548,"&lt;"&amp;Inputs!$B$4)</f>
        <v>15996.333333333334</v>
      </c>
      <c r="E11" s="6">
        <f>IF(AND($A11&gt;=Inputs!$B$8,$A11&lt;=Inputs!$B$9),B11*Inputs!$B$6,B11)</f>
        <v>65439.9</v>
      </c>
      <c r="F11" s="6">
        <f>IF(AND($A11&gt;=Inputs!$B$8,$A11&lt;=Inputs!$B$9),C11*Inputs!$B$7,C11)</f>
        <v>30538.75</v>
      </c>
      <c r="G11" s="6">
        <f>IF(AND($A11&gt;=Inputs!$B$8,$A11&lt;=Inputs!$B$9),D11*Inputs!$B$7,D11)</f>
        <v>23994.5</v>
      </c>
      <c r="H11" s="6">
        <f t="shared" si="0"/>
        <v>119973.15</v>
      </c>
      <c r="I11" s="6">
        <f>IF($A11&lt;Inputs!$B$8,Inputs!$B$11,IF($A11&lt;=Inputs!$B$9,Inputs!$B$12,Inputs!$B$11))</f>
        <v>120000</v>
      </c>
    </row>
    <row r="12" spans="1:9" x14ac:dyDescent="0.45">
      <c r="A12" s="3">
        <v>46335</v>
      </c>
      <c r="B12" s="6">
        <f>AVERAGEIFS(History_DAD!$C$2:$C$548,History_DAD!$B$2:$B$548,WEEKDAY($A12,1),History_DAD!$A$2:$A$548,"&gt;="&amp;(Inputs!$B$4-Inputs!$B$10),History_DAD!$A$2:$A$548,"&lt;"&amp;Inputs!$B$4)</f>
        <v>31997.333333333332</v>
      </c>
      <c r="C12" s="6">
        <f>AVERAGEIFS(History_MAT!$C$2:$C$548,History_MAT!$B$2:$B$548,WEEKDAY($A12,1),History_MAT!$A$2:$A$548,"&gt;="&amp;(Inputs!$B$4-Inputs!$B$10),History_MAT!$A$2:$A$548,"&lt;"&amp;Inputs!$B$4)</f>
        <v>17918.5</v>
      </c>
      <c r="D12" s="6">
        <f>AVERAGEIFS(History_SIO!$C$2:$C$548,History_SIO!$B$2:$B$548,WEEKDAY($A12,1),History_SIO!$A$2:$A$548,"&gt;="&amp;(Inputs!$B$4-Inputs!$B$10),History_SIO!$A$2:$A$548,"&lt;"&amp;Inputs!$B$4)</f>
        <v>14078.833333333334</v>
      </c>
      <c r="E12" s="6">
        <f>IF(AND($A12&gt;=Inputs!$B$8,$A12&lt;=Inputs!$B$9),B12*Inputs!$B$6,B12)</f>
        <v>31997.333333333332</v>
      </c>
      <c r="F12" s="6">
        <f>IF(AND($A12&gt;=Inputs!$B$8,$A12&lt;=Inputs!$B$9),C12*Inputs!$B$7,C12)</f>
        <v>17918.5</v>
      </c>
      <c r="G12" s="6">
        <f>IF(AND($A12&gt;=Inputs!$B$8,$A12&lt;=Inputs!$B$9),D12*Inputs!$B$7,D12)</f>
        <v>14078.833333333334</v>
      </c>
      <c r="H12" s="6">
        <f t="shared" si="0"/>
        <v>63994.666666666664</v>
      </c>
      <c r="I12" s="6">
        <f>IF($A12&lt;Inputs!$B$8,Inputs!$B$11,IF($A12&lt;=Inputs!$B$9,Inputs!$B$12,Inputs!$B$11))</f>
        <v>70000</v>
      </c>
    </row>
    <row r="13" spans="1:9" x14ac:dyDescent="0.45">
      <c r="A13" s="3">
        <v>46336</v>
      </c>
      <c r="B13" s="6">
        <f>AVERAGEIFS(History_DAD!$C$2:$C$548,History_DAD!$B$2:$B$548,WEEKDAY($A13,1),History_DAD!$A$2:$A$548,"&gt;="&amp;(Inputs!$B$4-Inputs!$B$10),History_DAD!$A$2:$A$548,"&lt;"&amp;Inputs!$B$4)</f>
        <v>33193.5</v>
      </c>
      <c r="C13" s="6">
        <f>AVERAGEIFS(History_MAT!$C$2:$C$548,History_MAT!$B$2:$B$548,WEEKDAY($A13,1),History_MAT!$A$2:$A$548,"&gt;="&amp;(Inputs!$B$4-Inputs!$B$10),History_MAT!$A$2:$A$548,"&lt;"&amp;Inputs!$B$4)</f>
        <v>18588.25</v>
      </c>
      <c r="D13" s="6">
        <f>AVERAGEIFS(History_SIO!$C$2:$C$548,History_SIO!$B$2:$B$548,WEEKDAY($A13,1),History_SIO!$A$2:$A$548,"&gt;="&amp;(Inputs!$B$4-Inputs!$B$10),History_SIO!$A$2:$A$548,"&lt;"&amp;Inputs!$B$4)</f>
        <v>14605.166666666666</v>
      </c>
      <c r="E13" s="6">
        <f>IF(AND($A13&gt;=Inputs!$B$8,$A13&lt;=Inputs!$B$9),B13*Inputs!$B$6,B13)</f>
        <v>33193.5</v>
      </c>
      <c r="F13" s="6">
        <f>IF(AND($A13&gt;=Inputs!$B$8,$A13&lt;=Inputs!$B$9),C13*Inputs!$B$7,C13)</f>
        <v>18588.25</v>
      </c>
      <c r="G13" s="6">
        <f>IF(AND($A13&gt;=Inputs!$B$8,$A13&lt;=Inputs!$B$9),D13*Inputs!$B$7,D13)</f>
        <v>14605.166666666666</v>
      </c>
      <c r="H13" s="6">
        <f t="shared" si="0"/>
        <v>66386.916666666672</v>
      </c>
      <c r="I13" s="6">
        <f>IF($A13&lt;Inputs!$B$8,Inputs!$B$11,IF($A13&lt;=Inputs!$B$9,Inputs!$B$12,Inputs!$B$11))</f>
        <v>70000</v>
      </c>
    </row>
    <row r="14" spans="1:9" x14ac:dyDescent="0.45">
      <c r="A14" s="3">
        <v>46337</v>
      </c>
      <c r="B14" s="6">
        <f>AVERAGEIFS(History_DAD!$C$2:$C$548,History_DAD!$B$2:$B$548,WEEKDAY($A14,1),History_DAD!$A$2:$A$548,"&gt;="&amp;(Inputs!$B$4-Inputs!$B$10),History_DAD!$A$2:$A$548,"&lt;"&amp;Inputs!$B$4)</f>
        <v>34045.833333333336</v>
      </c>
      <c r="C14" s="6">
        <f>AVERAGEIFS(History_MAT!$C$2:$C$548,History_MAT!$B$2:$B$548,WEEKDAY($A14,1),History_MAT!$A$2:$A$548,"&gt;="&amp;(Inputs!$B$4-Inputs!$B$10),History_MAT!$A$2:$A$548,"&lt;"&amp;Inputs!$B$4)</f>
        <v>19065.583333333332</v>
      </c>
      <c r="D14" s="6">
        <f>AVERAGEIFS(History_SIO!$C$2:$C$548,History_SIO!$B$2:$B$548,WEEKDAY($A14,1),History_SIO!$A$2:$A$548,"&gt;="&amp;(Inputs!$B$4-Inputs!$B$10),History_SIO!$A$2:$A$548,"&lt;"&amp;Inputs!$B$4)</f>
        <v>14980.166666666666</v>
      </c>
      <c r="E14" s="6">
        <f>IF(AND($A14&gt;=Inputs!$B$8,$A14&lt;=Inputs!$B$9),B14*Inputs!$B$6,B14)</f>
        <v>34045.833333333336</v>
      </c>
      <c r="F14" s="6">
        <f>IF(AND($A14&gt;=Inputs!$B$8,$A14&lt;=Inputs!$B$9),C14*Inputs!$B$7,C14)</f>
        <v>19065.583333333332</v>
      </c>
      <c r="G14" s="6">
        <f>IF(AND($A14&gt;=Inputs!$B$8,$A14&lt;=Inputs!$B$9),D14*Inputs!$B$7,D14)</f>
        <v>14980.166666666666</v>
      </c>
      <c r="H14" s="6">
        <f t="shared" si="0"/>
        <v>68091.583333333343</v>
      </c>
      <c r="I14" s="6">
        <f>IF($A14&lt;Inputs!$B$8,Inputs!$B$11,IF($A14&lt;=Inputs!$B$9,Inputs!$B$12,Inputs!$B$11))</f>
        <v>70000</v>
      </c>
    </row>
    <row r="15" spans="1:9" x14ac:dyDescent="0.45">
      <c r="A15" s="3">
        <v>46338</v>
      </c>
      <c r="B15" s="6">
        <f>AVERAGEIFS(History_DAD!$C$2:$C$548,History_DAD!$B$2:$B$548,WEEKDAY($A15,1),History_DAD!$A$2:$A$548,"&gt;="&amp;(Inputs!$B$4-Inputs!$B$10),History_DAD!$A$2:$A$548,"&lt;"&amp;Inputs!$B$4)</f>
        <v>34997.666666666664</v>
      </c>
      <c r="C15" s="6">
        <f>AVERAGEIFS(History_MAT!$C$2:$C$548,History_MAT!$B$2:$B$548,WEEKDAY($A15,1),History_MAT!$A$2:$A$548,"&gt;="&amp;(Inputs!$B$4-Inputs!$B$10),History_MAT!$A$2:$A$548,"&lt;"&amp;Inputs!$B$4)</f>
        <v>19598.75</v>
      </c>
      <c r="D15" s="6">
        <f>AVERAGEIFS(History_SIO!$C$2:$C$548,History_SIO!$B$2:$B$548,WEEKDAY($A15,1),History_SIO!$A$2:$A$548,"&gt;="&amp;(Inputs!$B$4-Inputs!$B$10),History_SIO!$A$2:$A$548,"&lt;"&amp;Inputs!$B$4)</f>
        <v>15398.916666666666</v>
      </c>
      <c r="E15" s="6">
        <f>IF(AND($A15&gt;=Inputs!$B$8,$A15&lt;=Inputs!$B$9),B15*Inputs!$B$6,B15)</f>
        <v>34997.666666666664</v>
      </c>
      <c r="F15" s="6">
        <f>IF(AND($A15&gt;=Inputs!$B$8,$A15&lt;=Inputs!$B$9),C15*Inputs!$B$7,C15)</f>
        <v>19598.75</v>
      </c>
      <c r="G15" s="6">
        <f>IF(AND($A15&gt;=Inputs!$B$8,$A15&lt;=Inputs!$B$9),D15*Inputs!$B$7,D15)</f>
        <v>15398.916666666666</v>
      </c>
      <c r="H15" s="6">
        <f t="shared" si="0"/>
        <v>69995.333333333328</v>
      </c>
      <c r="I15" s="6">
        <f>IF($A15&lt;Inputs!$B$8,Inputs!$B$11,IF($A15&lt;=Inputs!$B$9,Inputs!$B$12,Inputs!$B$11))</f>
        <v>70000</v>
      </c>
    </row>
    <row r="16" spans="1:9" x14ac:dyDescent="0.45">
      <c r="A16" s="3">
        <v>46339</v>
      </c>
      <c r="B16" s="6">
        <f>AVERAGEIFS(History_DAD!$C$2:$C$548,History_DAD!$B$2:$B$548,WEEKDAY($A16,1),History_DAD!$A$2:$A$548,"&gt;="&amp;(Inputs!$B$4-Inputs!$B$10),History_DAD!$A$2:$A$548,"&lt;"&amp;Inputs!$B$4)</f>
        <v>35801.583333333336</v>
      </c>
      <c r="C16" s="6">
        <f>AVERAGEIFS(History_MAT!$C$2:$C$548,History_MAT!$B$2:$B$548,WEEKDAY($A16,1),History_MAT!$A$2:$A$548,"&gt;="&amp;(Inputs!$B$4-Inputs!$B$10),History_MAT!$A$2:$A$548,"&lt;"&amp;Inputs!$B$4)</f>
        <v>20049.083333333332</v>
      </c>
      <c r="D16" s="6">
        <f>AVERAGEIFS(History_SIO!$C$2:$C$548,History_SIO!$B$2:$B$548,WEEKDAY($A16,1),History_SIO!$A$2:$A$548,"&gt;="&amp;(Inputs!$B$4-Inputs!$B$10),History_SIO!$A$2:$A$548,"&lt;"&amp;Inputs!$B$4)</f>
        <v>15752.75</v>
      </c>
      <c r="E16" s="6">
        <f>IF(AND($A16&gt;=Inputs!$B$8,$A16&lt;=Inputs!$B$9),B16*Inputs!$B$6,B16)</f>
        <v>35801.583333333336</v>
      </c>
      <c r="F16" s="6">
        <f>IF(AND($A16&gt;=Inputs!$B$8,$A16&lt;=Inputs!$B$9),C16*Inputs!$B$7,C16)</f>
        <v>20049.083333333332</v>
      </c>
      <c r="G16" s="6">
        <f>IF(AND($A16&gt;=Inputs!$B$8,$A16&lt;=Inputs!$B$9),D16*Inputs!$B$7,D16)</f>
        <v>15752.75</v>
      </c>
      <c r="H16" s="6">
        <f t="shared" si="0"/>
        <v>71603.416666666672</v>
      </c>
      <c r="I16" s="6">
        <f>IF($A16&lt;Inputs!$B$8,Inputs!$B$11,IF($A16&lt;=Inputs!$B$9,Inputs!$B$12,Inputs!$B$11))</f>
        <v>70000</v>
      </c>
    </row>
    <row r="17" spans="1:9" x14ac:dyDescent="0.45">
      <c r="A17" s="3">
        <v>46340</v>
      </c>
      <c r="B17" s="6">
        <f>AVERAGEIFS(History_DAD!$C$2:$C$548,History_DAD!$B$2:$B$548,WEEKDAY($A17,1),History_DAD!$A$2:$A$548,"&gt;="&amp;(Inputs!$B$4-Inputs!$B$10),History_DAD!$A$2:$A$548,"&lt;"&amp;Inputs!$B$4)</f>
        <v>39113.333333333336</v>
      </c>
      <c r="C17" s="6">
        <f>AVERAGEIFS(History_MAT!$C$2:$C$548,History_MAT!$B$2:$B$548,WEEKDAY($A17,1),History_MAT!$A$2:$A$548,"&gt;="&amp;(Inputs!$B$4-Inputs!$B$10),History_MAT!$A$2:$A$548,"&lt;"&amp;Inputs!$B$4)</f>
        <v>21903.333333333332</v>
      </c>
      <c r="D17" s="6">
        <f>AVERAGEIFS(History_SIO!$C$2:$C$548,History_SIO!$B$2:$B$548,WEEKDAY($A17,1),History_SIO!$A$2:$A$548,"&gt;="&amp;(Inputs!$B$4-Inputs!$B$10),History_SIO!$A$2:$A$548,"&lt;"&amp;Inputs!$B$4)</f>
        <v>17209.916666666668</v>
      </c>
      <c r="E17" s="6">
        <f>IF(AND($A17&gt;=Inputs!$B$8,$A17&lt;=Inputs!$B$9),B17*Inputs!$B$6,B17)</f>
        <v>39113.333333333336</v>
      </c>
      <c r="F17" s="6">
        <f>IF(AND($A17&gt;=Inputs!$B$8,$A17&lt;=Inputs!$B$9),C17*Inputs!$B$7,C17)</f>
        <v>21903.333333333332</v>
      </c>
      <c r="G17" s="6">
        <f>IF(AND($A17&gt;=Inputs!$B$8,$A17&lt;=Inputs!$B$9),D17*Inputs!$B$7,D17)</f>
        <v>17209.916666666668</v>
      </c>
      <c r="H17" s="6">
        <f t="shared" si="0"/>
        <v>78226.583333333343</v>
      </c>
      <c r="I17" s="6">
        <f>IF($A17&lt;Inputs!$B$8,Inputs!$B$11,IF($A17&lt;=Inputs!$B$9,Inputs!$B$12,Inputs!$B$11))</f>
        <v>70000</v>
      </c>
    </row>
    <row r="18" spans="1:9" x14ac:dyDescent="0.45">
      <c r="A18" s="3">
        <v>46341</v>
      </c>
      <c r="B18" s="6">
        <f>AVERAGEIFS(History_DAD!$C$2:$C$548,History_DAD!$B$2:$B$548,WEEKDAY($A18,1),History_DAD!$A$2:$A$548,"&gt;="&amp;(Inputs!$B$4-Inputs!$B$10),History_DAD!$A$2:$A$548,"&lt;"&amp;Inputs!$B$4)</f>
        <v>36355.5</v>
      </c>
      <c r="C18" s="6">
        <f>AVERAGEIFS(History_MAT!$C$2:$C$548,History_MAT!$B$2:$B$548,WEEKDAY($A18,1),History_MAT!$A$2:$A$548,"&gt;="&amp;(Inputs!$B$4-Inputs!$B$10),History_MAT!$A$2:$A$548,"&lt;"&amp;Inputs!$B$4)</f>
        <v>20359.166666666668</v>
      </c>
      <c r="D18" s="6">
        <f>AVERAGEIFS(History_SIO!$C$2:$C$548,History_SIO!$B$2:$B$548,WEEKDAY($A18,1),History_SIO!$A$2:$A$548,"&gt;="&amp;(Inputs!$B$4-Inputs!$B$10),History_SIO!$A$2:$A$548,"&lt;"&amp;Inputs!$B$4)</f>
        <v>15996.333333333334</v>
      </c>
      <c r="E18" s="6">
        <f>IF(AND($A18&gt;=Inputs!$B$8,$A18&lt;=Inputs!$B$9),B18*Inputs!$B$6,B18)</f>
        <v>36355.5</v>
      </c>
      <c r="F18" s="6">
        <f>IF(AND($A18&gt;=Inputs!$B$8,$A18&lt;=Inputs!$B$9),C18*Inputs!$B$7,C18)</f>
        <v>20359.166666666668</v>
      </c>
      <c r="G18" s="6">
        <f>IF(AND($A18&gt;=Inputs!$B$8,$A18&lt;=Inputs!$B$9),D18*Inputs!$B$7,D18)</f>
        <v>15996.333333333334</v>
      </c>
      <c r="H18" s="6">
        <f t="shared" si="0"/>
        <v>72711</v>
      </c>
      <c r="I18" s="6">
        <f>IF($A18&lt;Inputs!$B$8,Inputs!$B$11,IF($A18&lt;=Inputs!$B$9,Inputs!$B$12,Inputs!$B$11))</f>
        <v>70000</v>
      </c>
    </row>
    <row r="19" spans="1:9" x14ac:dyDescent="0.45">
      <c r="A19" s="3">
        <v>46342</v>
      </c>
      <c r="B19" s="6">
        <f>AVERAGEIFS(History_DAD!$C$2:$C$548,History_DAD!$B$2:$B$548,WEEKDAY($A19,1),History_DAD!$A$2:$A$548,"&gt;="&amp;(Inputs!$B$4-Inputs!$B$10),History_DAD!$A$2:$A$548,"&lt;"&amp;Inputs!$B$4)</f>
        <v>31997.333333333332</v>
      </c>
      <c r="C19" s="6">
        <f>AVERAGEIFS(History_MAT!$C$2:$C$548,History_MAT!$B$2:$B$548,WEEKDAY($A19,1),History_MAT!$A$2:$A$548,"&gt;="&amp;(Inputs!$B$4-Inputs!$B$10),History_MAT!$A$2:$A$548,"&lt;"&amp;Inputs!$B$4)</f>
        <v>17918.5</v>
      </c>
      <c r="D19" s="6">
        <f>AVERAGEIFS(History_SIO!$C$2:$C$548,History_SIO!$B$2:$B$548,WEEKDAY($A19,1),History_SIO!$A$2:$A$548,"&gt;="&amp;(Inputs!$B$4-Inputs!$B$10),History_SIO!$A$2:$A$548,"&lt;"&amp;Inputs!$B$4)</f>
        <v>14078.833333333334</v>
      </c>
      <c r="E19" s="6">
        <f>IF(AND($A19&gt;=Inputs!$B$8,$A19&lt;=Inputs!$B$9),B19*Inputs!$B$6,B19)</f>
        <v>31997.333333333332</v>
      </c>
      <c r="F19" s="6">
        <f>IF(AND($A19&gt;=Inputs!$B$8,$A19&lt;=Inputs!$B$9),C19*Inputs!$B$7,C19)</f>
        <v>17918.5</v>
      </c>
      <c r="G19" s="6">
        <f>IF(AND($A19&gt;=Inputs!$B$8,$A19&lt;=Inputs!$B$9),D19*Inputs!$B$7,D19)</f>
        <v>14078.833333333334</v>
      </c>
      <c r="H19" s="6">
        <f t="shared" si="0"/>
        <v>63994.666666666664</v>
      </c>
      <c r="I19" s="6">
        <f>IF($A19&lt;Inputs!$B$8,Inputs!$B$11,IF($A19&lt;=Inputs!$B$9,Inputs!$B$12,Inputs!$B$11))</f>
        <v>70000</v>
      </c>
    </row>
    <row r="20" spans="1:9" x14ac:dyDescent="0.45">
      <c r="A20" s="3">
        <v>46343</v>
      </c>
      <c r="B20" s="6">
        <f>AVERAGEIFS(History_DAD!$C$2:$C$548,History_DAD!$B$2:$B$548,WEEKDAY($A20,1),History_DAD!$A$2:$A$548,"&gt;="&amp;(Inputs!$B$4-Inputs!$B$10),History_DAD!$A$2:$A$548,"&lt;"&amp;Inputs!$B$4)</f>
        <v>33193.5</v>
      </c>
      <c r="C20" s="6">
        <f>AVERAGEIFS(History_MAT!$C$2:$C$548,History_MAT!$B$2:$B$548,WEEKDAY($A20,1),History_MAT!$A$2:$A$548,"&gt;="&amp;(Inputs!$B$4-Inputs!$B$10),History_MAT!$A$2:$A$548,"&lt;"&amp;Inputs!$B$4)</f>
        <v>18588.25</v>
      </c>
      <c r="D20" s="6">
        <f>AVERAGEIFS(History_SIO!$C$2:$C$548,History_SIO!$B$2:$B$548,WEEKDAY($A20,1),History_SIO!$A$2:$A$548,"&gt;="&amp;(Inputs!$B$4-Inputs!$B$10),History_SIO!$A$2:$A$548,"&lt;"&amp;Inputs!$B$4)</f>
        <v>14605.166666666666</v>
      </c>
      <c r="E20" s="6">
        <f>IF(AND($A20&gt;=Inputs!$B$8,$A20&lt;=Inputs!$B$9),B20*Inputs!$B$6,B20)</f>
        <v>33193.5</v>
      </c>
      <c r="F20" s="6">
        <f>IF(AND($A20&gt;=Inputs!$B$8,$A20&lt;=Inputs!$B$9),C20*Inputs!$B$7,C20)</f>
        <v>18588.25</v>
      </c>
      <c r="G20" s="6">
        <f>IF(AND($A20&gt;=Inputs!$B$8,$A20&lt;=Inputs!$B$9),D20*Inputs!$B$7,D20)</f>
        <v>14605.166666666666</v>
      </c>
      <c r="H20" s="6">
        <f t="shared" si="0"/>
        <v>66386.916666666672</v>
      </c>
      <c r="I20" s="6">
        <f>IF($A20&lt;Inputs!$B$8,Inputs!$B$11,IF($A20&lt;=Inputs!$B$9,Inputs!$B$12,Inputs!$B$11))</f>
        <v>70000</v>
      </c>
    </row>
    <row r="21" spans="1:9" x14ac:dyDescent="0.45">
      <c r="A21" s="3">
        <v>46344</v>
      </c>
      <c r="B21" s="6">
        <f>AVERAGEIFS(History_DAD!$C$2:$C$548,History_DAD!$B$2:$B$548,WEEKDAY($A21,1),History_DAD!$A$2:$A$548,"&gt;="&amp;(Inputs!$B$4-Inputs!$B$10),History_DAD!$A$2:$A$548,"&lt;"&amp;Inputs!$B$4)</f>
        <v>34045.833333333336</v>
      </c>
      <c r="C21" s="6">
        <f>AVERAGEIFS(History_MAT!$C$2:$C$548,History_MAT!$B$2:$B$548,WEEKDAY($A21,1),History_MAT!$A$2:$A$548,"&gt;="&amp;(Inputs!$B$4-Inputs!$B$10),History_MAT!$A$2:$A$548,"&lt;"&amp;Inputs!$B$4)</f>
        <v>19065.583333333332</v>
      </c>
      <c r="D21" s="6">
        <f>AVERAGEIFS(History_SIO!$C$2:$C$548,History_SIO!$B$2:$B$548,WEEKDAY($A21,1),History_SIO!$A$2:$A$548,"&gt;="&amp;(Inputs!$B$4-Inputs!$B$10),History_SIO!$A$2:$A$548,"&lt;"&amp;Inputs!$B$4)</f>
        <v>14980.166666666666</v>
      </c>
      <c r="E21" s="6">
        <f>IF(AND($A21&gt;=Inputs!$B$8,$A21&lt;=Inputs!$B$9),B21*Inputs!$B$6,B21)</f>
        <v>34045.833333333336</v>
      </c>
      <c r="F21" s="6">
        <f>IF(AND($A21&gt;=Inputs!$B$8,$A21&lt;=Inputs!$B$9),C21*Inputs!$B$7,C21)</f>
        <v>19065.583333333332</v>
      </c>
      <c r="G21" s="6">
        <f>IF(AND($A21&gt;=Inputs!$B$8,$A21&lt;=Inputs!$B$9),D21*Inputs!$B$7,D21)</f>
        <v>14980.166666666666</v>
      </c>
      <c r="H21" s="6">
        <f t="shared" si="0"/>
        <v>68091.583333333343</v>
      </c>
      <c r="I21" s="6">
        <f>IF($A21&lt;Inputs!$B$8,Inputs!$B$11,IF($A21&lt;=Inputs!$B$9,Inputs!$B$12,Inputs!$B$11))</f>
        <v>70000</v>
      </c>
    </row>
    <row r="22" spans="1:9" x14ac:dyDescent="0.45">
      <c r="A22" s="3">
        <v>46345</v>
      </c>
      <c r="B22" s="6">
        <f>AVERAGEIFS(History_DAD!$C$2:$C$548,History_DAD!$B$2:$B$548,WEEKDAY($A22,1),History_DAD!$A$2:$A$548,"&gt;="&amp;(Inputs!$B$4-Inputs!$B$10),History_DAD!$A$2:$A$548,"&lt;"&amp;Inputs!$B$4)</f>
        <v>34997.666666666664</v>
      </c>
      <c r="C22" s="6">
        <f>AVERAGEIFS(History_MAT!$C$2:$C$548,History_MAT!$B$2:$B$548,WEEKDAY($A22,1),History_MAT!$A$2:$A$548,"&gt;="&amp;(Inputs!$B$4-Inputs!$B$10),History_MAT!$A$2:$A$548,"&lt;"&amp;Inputs!$B$4)</f>
        <v>19598.75</v>
      </c>
      <c r="D22" s="6">
        <f>AVERAGEIFS(History_SIO!$C$2:$C$548,History_SIO!$B$2:$B$548,WEEKDAY($A22,1),History_SIO!$A$2:$A$548,"&gt;="&amp;(Inputs!$B$4-Inputs!$B$10),History_SIO!$A$2:$A$548,"&lt;"&amp;Inputs!$B$4)</f>
        <v>15398.916666666666</v>
      </c>
      <c r="E22" s="6">
        <f>IF(AND($A22&gt;=Inputs!$B$8,$A22&lt;=Inputs!$B$9),B22*Inputs!$B$6,B22)</f>
        <v>34997.666666666664</v>
      </c>
      <c r="F22" s="6">
        <f>IF(AND($A22&gt;=Inputs!$B$8,$A22&lt;=Inputs!$B$9),C22*Inputs!$B$7,C22)</f>
        <v>19598.75</v>
      </c>
      <c r="G22" s="6">
        <f>IF(AND($A22&gt;=Inputs!$B$8,$A22&lt;=Inputs!$B$9),D22*Inputs!$B$7,D22)</f>
        <v>15398.916666666666</v>
      </c>
      <c r="H22" s="6">
        <f t="shared" si="0"/>
        <v>69995.333333333328</v>
      </c>
      <c r="I22" s="6">
        <f>IF($A22&lt;Inputs!$B$8,Inputs!$B$11,IF($A22&lt;=Inputs!$B$9,Inputs!$B$12,Inputs!$B$11))</f>
        <v>70000</v>
      </c>
    </row>
    <row r="23" spans="1:9" x14ac:dyDescent="0.45">
      <c r="A23" s="3">
        <v>46346</v>
      </c>
      <c r="B23" s="6">
        <f>AVERAGEIFS(History_DAD!$C$2:$C$548,History_DAD!$B$2:$B$548,WEEKDAY($A23,1),History_DAD!$A$2:$A$548,"&gt;="&amp;(Inputs!$B$4-Inputs!$B$10),History_DAD!$A$2:$A$548,"&lt;"&amp;Inputs!$B$4)</f>
        <v>35801.583333333336</v>
      </c>
      <c r="C23" s="6">
        <f>AVERAGEIFS(History_MAT!$C$2:$C$548,History_MAT!$B$2:$B$548,WEEKDAY($A23,1),History_MAT!$A$2:$A$548,"&gt;="&amp;(Inputs!$B$4-Inputs!$B$10),History_MAT!$A$2:$A$548,"&lt;"&amp;Inputs!$B$4)</f>
        <v>20049.083333333332</v>
      </c>
      <c r="D23" s="6">
        <f>AVERAGEIFS(History_SIO!$C$2:$C$548,History_SIO!$B$2:$B$548,WEEKDAY($A23,1),History_SIO!$A$2:$A$548,"&gt;="&amp;(Inputs!$B$4-Inputs!$B$10),History_SIO!$A$2:$A$548,"&lt;"&amp;Inputs!$B$4)</f>
        <v>15752.75</v>
      </c>
      <c r="E23" s="6">
        <f>IF(AND($A23&gt;=Inputs!$B$8,$A23&lt;=Inputs!$B$9),B23*Inputs!$B$6,B23)</f>
        <v>35801.583333333336</v>
      </c>
      <c r="F23" s="6">
        <f>IF(AND($A23&gt;=Inputs!$B$8,$A23&lt;=Inputs!$B$9),C23*Inputs!$B$7,C23)</f>
        <v>20049.083333333332</v>
      </c>
      <c r="G23" s="6">
        <f>IF(AND($A23&gt;=Inputs!$B$8,$A23&lt;=Inputs!$B$9),D23*Inputs!$B$7,D23)</f>
        <v>15752.75</v>
      </c>
      <c r="H23" s="6">
        <f t="shared" si="0"/>
        <v>71603.416666666672</v>
      </c>
      <c r="I23" s="6">
        <f>IF($A23&lt;Inputs!$B$8,Inputs!$B$11,IF($A23&lt;=Inputs!$B$9,Inputs!$B$12,Inputs!$B$11))</f>
        <v>70000</v>
      </c>
    </row>
    <row r="24" spans="1:9" x14ac:dyDescent="0.45">
      <c r="A24" s="3">
        <v>46347</v>
      </c>
      <c r="B24" s="6">
        <f>AVERAGEIFS(History_DAD!$C$2:$C$548,History_DAD!$B$2:$B$548,WEEKDAY($A24,1),History_DAD!$A$2:$A$548,"&gt;="&amp;(Inputs!$B$4-Inputs!$B$10),History_DAD!$A$2:$A$548,"&lt;"&amp;Inputs!$B$4)</f>
        <v>39113.333333333336</v>
      </c>
      <c r="C24" s="6">
        <f>AVERAGEIFS(History_MAT!$C$2:$C$548,History_MAT!$B$2:$B$548,WEEKDAY($A24,1),History_MAT!$A$2:$A$548,"&gt;="&amp;(Inputs!$B$4-Inputs!$B$10),History_MAT!$A$2:$A$548,"&lt;"&amp;Inputs!$B$4)</f>
        <v>21903.333333333332</v>
      </c>
      <c r="D24" s="6">
        <f>AVERAGEIFS(History_SIO!$C$2:$C$548,History_SIO!$B$2:$B$548,WEEKDAY($A24,1),History_SIO!$A$2:$A$548,"&gt;="&amp;(Inputs!$B$4-Inputs!$B$10),History_SIO!$A$2:$A$548,"&lt;"&amp;Inputs!$B$4)</f>
        <v>17209.916666666668</v>
      </c>
      <c r="E24" s="6">
        <f>IF(AND($A24&gt;=Inputs!$B$8,$A24&lt;=Inputs!$B$9),B24*Inputs!$B$6,B24)</f>
        <v>39113.333333333336</v>
      </c>
      <c r="F24" s="6">
        <f>IF(AND($A24&gt;=Inputs!$B$8,$A24&lt;=Inputs!$B$9),C24*Inputs!$B$7,C24)</f>
        <v>21903.333333333332</v>
      </c>
      <c r="G24" s="6">
        <f>IF(AND($A24&gt;=Inputs!$B$8,$A24&lt;=Inputs!$B$9),D24*Inputs!$B$7,D24)</f>
        <v>17209.916666666668</v>
      </c>
      <c r="H24" s="6">
        <f t="shared" si="0"/>
        <v>78226.583333333343</v>
      </c>
      <c r="I24" s="6">
        <f>IF($A24&lt;Inputs!$B$8,Inputs!$B$11,IF($A24&lt;=Inputs!$B$9,Inputs!$B$12,Inputs!$B$11))</f>
        <v>70000</v>
      </c>
    </row>
    <row r="25" spans="1:9" x14ac:dyDescent="0.45">
      <c r="A25" s="3">
        <v>46348</v>
      </c>
      <c r="B25" s="6">
        <f>AVERAGEIFS(History_DAD!$C$2:$C$548,History_DAD!$B$2:$B$548,WEEKDAY($A25,1),History_DAD!$A$2:$A$548,"&gt;="&amp;(Inputs!$B$4-Inputs!$B$10),History_DAD!$A$2:$A$548,"&lt;"&amp;Inputs!$B$4)</f>
        <v>36355.5</v>
      </c>
      <c r="C25" s="6">
        <f>AVERAGEIFS(History_MAT!$C$2:$C$548,History_MAT!$B$2:$B$548,WEEKDAY($A25,1),History_MAT!$A$2:$A$548,"&gt;="&amp;(Inputs!$B$4-Inputs!$B$10),History_MAT!$A$2:$A$548,"&lt;"&amp;Inputs!$B$4)</f>
        <v>20359.166666666668</v>
      </c>
      <c r="D25" s="6">
        <f>AVERAGEIFS(History_SIO!$C$2:$C$548,History_SIO!$B$2:$B$548,WEEKDAY($A25,1),History_SIO!$A$2:$A$548,"&gt;="&amp;(Inputs!$B$4-Inputs!$B$10),History_SIO!$A$2:$A$548,"&lt;"&amp;Inputs!$B$4)</f>
        <v>15996.333333333334</v>
      </c>
      <c r="E25" s="6">
        <f>IF(AND($A25&gt;=Inputs!$B$8,$A25&lt;=Inputs!$B$9),B25*Inputs!$B$6,B25)</f>
        <v>36355.5</v>
      </c>
      <c r="F25" s="6">
        <f>IF(AND($A25&gt;=Inputs!$B$8,$A25&lt;=Inputs!$B$9),C25*Inputs!$B$7,C25)</f>
        <v>20359.166666666668</v>
      </c>
      <c r="G25" s="6">
        <f>IF(AND($A25&gt;=Inputs!$B$8,$A25&lt;=Inputs!$B$9),D25*Inputs!$B$7,D25)</f>
        <v>15996.333333333334</v>
      </c>
      <c r="H25" s="6">
        <f t="shared" si="0"/>
        <v>72711</v>
      </c>
      <c r="I25" s="6">
        <f>IF($A25&lt;Inputs!$B$8,Inputs!$B$11,IF($A25&lt;=Inputs!$B$9,Inputs!$B$12,Inputs!$B$11))</f>
        <v>70000</v>
      </c>
    </row>
    <row r="26" spans="1:9" x14ac:dyDescent="0.45">
      <c r="A26" s="3">
        <v>46349</v>
      </c>
      <c r="B26" s="6">
        <f>AVERAGEIFS(History_DAD!$C$2:$C$548,History_DAD!$B$2:$B$548,WEEKDAY($A26,1),History_DAD!$A$2:$A$548,"&gt;="&amp;(Inputs!$B$4-Inputs!$B$10),History_DAD!$A$2:$A$548,"&lt;"&amp;Inputs!$B$4)</f>
        <v>31997.333333333332</v>
      </c>
      <c r="C26" s="6">
        <f>AVERAGEIFS(History_MAT!$C$2:$C$548,History_MAT!$B$2:$B$548,WEEKDAY($A26,1),History_MAT!$A$2:$A$548,"&gt;="&amp;(Inputs!$B$4-Inputs!$B$10),History_MAT!$A$2:$A$548,"&lt;"&amp;Inputs!$B$4)</f>
        <v>17918.5</v>
      </c>
      <c r="D26" s="6">
        <f>AVERAGEIFS(History_SIO!$C$2:$C$548,History_SIO!$B$2:$B$548,WEEKDAY($A26,1),History_SIO!$A$2:$A$548,"&gt;="&amp;(Inputs!$B$4-Inputs!$B$10),History_SIO!$A$2:$A$548,"&lt;"&amp;Inputs!$B$4)</f>
        <v>14078.833333333334</v>
      </c>
      <c r="E26" s="6">
        <f>IF(AND($A26&gt;=Inputs!$B$8,$A26&lt;=Inputs!$B$9),B26*Inputs!$B$6,B26)</f>
        <v>31997.333333333332</v>
      </c>
      <c r="F26" s="6">
        <f>IF(AND($A26&gt;=Inputs!$B$8,$A26&lt;=Inputs!$B$9),C26*Inputs!$B$7,C26)</f>
        <v>17918.5</v>
      </c>
      <c r="G26" s="6">
        <f>IF(AND($A26&gt;=Inputs!$B$8,$A26&lt;=Inputs!$B$9),D26*Inputs!$B$7,D26)</f>
        <v>14078.833333333334</v>
      </c>
      <c r="H26" s="6">
        <f t="shared" si="0"/>
        <v>63994.666666666664</v>
      </c>
      <c r="I26" s="6">
        <f>IF($A26&lt;Inputs!$B$8,Inputs!$B$11,IF($A26&lt;=Inputs!$B$9,Inputs!$B$12,Inputs!$B$11))</f>
        <v>70000</v>
      </c>
    </row>
    <row r="27" spans="1:9" x14ac:dyDescent="0.45">
      <c r="A27" s="3">
        <v>46350</v>
      </c>
      <c r="B27" s="6">
        <f>AVERAGEIFS(History_DAD!$C$2:$C$548,History_DAD!$B$2:$B$548,WEEKDAY($A27,1),History_DAD!$A$2:$A$548,"&gt;="&amp;(Inputs!$B$4-Inputs!$B$10),History_DAD!$A$2:$A$548,"&lt;"&amp;Inputs!$B$4)</f>
        <v>33193.5</v>
      </c>
      <c r="C27" s="6">
        <f>AVERAGEIFS(History_MAT!$C$2:$C$548,History_MAT!$B$2:$B$548,WEEKDAY($A27,1),History_MAT!$A$2:$A$548,"&gt;="&amp;(Inputs!$B$4-Inputs!$B$10),History_MAT!$A$2:$A$548,"&lt;"&amp;Inputs!$B$4)</f>
        <v>18588.25</v>
      </c>
      <c r="D27" s="6">
        <f>AVERAGEIFS(History_SIO!$C$2:$C$548,History_SIO!$B$2:$B$548,WEEKDAY($A27,1),History_SIO!$A$2:$A$548,"&gt;="&amp;(Inputs!$B$4-Inputs!$B$10),History_SIO!$A$2:$A$548,"&lt;"&amp;Inputs!$B$4)</f>
        <v>14605.166666666666</v>
      </c>
      <c r="E27" s="6">
        <f>IF(AND($A27&gt;=Inputs!$B$8,$A27&lt;=Inputs!$B$9),B27*Inputs!$B$6,B27)</f>
        <v>33193.5</v>
      </c>
      <c r="F27" s="6">
        <f>IF(AND($A27&gt;=Inputs!$B$8,$A27&lt;=Inputs!$B$9),C27*Inputs!$B$7,C27)</f>
        <v>18588.25</v>
      </c>
      <c r="G27" s="6">
        <f>IF(AND($A27&gt;=Inputs!$B$8,$A27&lt;=Inputs!$B$9),D27*Inputs!$B$7,D27)</f>
        <v>14605.166666666666</v>
      </c>
      <c r="H27" s="6">
        <f t="shared" si="0"/>
        <v>66386.916666666672</v>
      </c>
      <c r="I27" s="6">
        <f>IF($A27&lt;Inputs!$B$8,Inputs!$B$11,IF($A27&lt;=Inputs!$B$9,Inputs!$B$12,Inputs!$B$11))</f>
        <v>70000</v>
      </c>
    </row>
    <row r="28" spans="1:9" x14ac:dyDescent="0.45">
      <c r="A28" s="3">
        <v>46351</v>
      </c>
      <c r="B28" s="6">
        <f>AVERAGEIFS(History_DAD!$C$2:$C$548,History_DAD!$B$2:$B$548,WEEKDAY($A28,1),History_DAD!$A$2:$A$548,"&gt;="&amp;(Inputs!$B$4-Inputs!$B$10),History_DAD!$A$2:$A$548,"&lt;"&amp;Inputs!$B$4)</f>
        <v>34045.833333333336</v>
      </c>
      <c r="C28" s="6">
        <f>AVERAGEIFS(History_MAT!$C$2:$C$548,History_MAT!$B$2:$B$548,WEEKDAY($A28,1),History_MAT!$A$2:$A$548,"&gt;="&amp;(Inputs!$B$4-Inputs!$B$10),History_MAT!$A$2:$A$548,"&lt;"&amp;Inputs!$B$4)</f>
        <v>19065.583333333332</v>
      </c>
      <c r="D28" s="6">
        <f>AVERAGEIFS(History_SIO!$C$2:$C$548,History_SIO!$B$2:$B$548,WEEKDAY($A28,1),History_SIO!$A$2:$A$548,"&gt;="&amp;(Inputs!$B$4-Inputs!$B$10),History_SIO!$A$2:$A$548,"&lt;"&amp;Inputs!$B$4)</f>
        <v>14980.166666666666</v>
      </c>
      <c r="E28" s="6">
        <f>IF(AND($A28&gt;=Inputs!$B$8,$A28&lt;=Inputs!$B$9),B28*Inputs!$B$6,B28)</f>
        <v>34045.833333333336</v>
      </c>
      <c r="F28" s="6">
        <f>IF(AND($A28&gt;=Inputs!$B$8,$A28&lt;=Inputs!$B$9),C28*Inputs!$B$7,C28)</f>
        <v>19065.583333333332</v>
      </c>
      <c r="G28" s="6">
        <f>IF(AND($A28&gt;=Inputs!$B$8,$A28&lt;=Inputs!$B$9),D28*Inputs!$B$7,D28)</f>
        <v>14980.166666666666</v>
      </c>
      <c r="H28" s="6">
        <f t="shared" si="0"/>
        <v>68091.583333333343</v>
      </c>
      <c r="I28" s="6">
        <f>IF($A28&lt;Inputs!$B$8,Inputs!$B$11,IF($A28&lt;=Inputs!$B$9,Inputs!$B$12,Inputs!$B$11))</f>
        <v>70000</v>
      </c>
    </row>
    <row r="29" spans="1:9" x14ac:dyDescent="0.45">
      <c r="A29" s="3">
        <v>46352</v>
      </c>
      <c r="B29" s="6">
        <f>AVERAGEIFS(History_DAD!$C$2:$C$548,History_DAD!$B$2:$B$548,WEEKDAY($A29,1),History_DAD!$A$2:$A$548,"&gt;="&amp;(Inputs!$B$4-Inputs!$B$10),History_DAD!$A$2:$A$548,"&lt;"&amp;Inputs!$B$4)</f>
        <v>34997.666666666664</v>
      </c>
      <c r="C29" s="6">
        <f>AVERAGEIFS(History_MAT!$C$2:$C$548,History_MAT!$B$2:$B$548,WEEKDAY($A29,1),History_MAT!$A$2:$A$548,"&gt;="&amp;(Inputs!$B$4-Inputs!$B$10),History_MAT!$A$2:$A$548,"&lt;"&amp;Inputs!$B$4)</f>
        <v>19598.75</v>
      </c>
      <c r="D29" s="6">
        <f>AVERAGEIFS(History_SIO!$C$2:$C$548,History_SIO!$B$2:$B$548,WEEKDAY($A29,1),History_SIO!$A$2:$A$548,"&gt;="&amp;(Inputs!$B$4-Inputs!$B$10),History_SIO!$A$2:$A$548,"&lt;"&amp;Inputs!$B$4)</f>
        <v>15398.916666666666</v>
      </c>
      <c r="E29" s="6">
        <f>IF(AND($A29&gt;=Inputs!$B$8,$A29&lt;=Inputs!$B$9),B29*Inputs!$B$6,B29)</f>
        <v>34997.666666666664</v>
      </c>
      <c r="F29" s="6">
        <f>IF(AND($A29&gt;=Inputs!$B$8,$A29&lt;=Inputs!$B$9),C29*Inputs!$B$7,C29)</f>
        <v>19598.75</v>
      </c>
      <c r="G29" s="6">
        <f>IF(AND($A29&gt;=Inputs!$B$8,$A29&lt;=Inputs!$B$9),D29*Inputs!$B$7,D29)</f>
        <v>15398.916666666666</v>
      </c>
      <c r="H29" s="6">
        <f t="shared" si="0"/>
        <v>69995.333333333328</v>
      </c>
      <c r="I29" s="6">
        <f>IF($A29&lt;Inputs!$B$8,Inputs!$B$11,IF($A29&lt;=Inputs!$B$9,Inputs!$B$12,Inputs!$B$11))</f>
        <v>70000</v>
      </c>
    </row>
    <row r="30" spans="1:9" x14ac:dyDescent="0.45">
      <c r="A30" s="3">
        <v>46353</v>
      </c>
      <c r="B30" s="6">
        <f>AVERAGEIFS(History_DAD!$C$2:$C$548,History_DAD!$B$2:$B$548,WEEKDAY($A30,1),History_DAD!$A$2:$A$548,"&gt;="&amp;(Inputs!$B$4-Inputs!$B$10),History_DAD!$A$2:$A$548,"&lt;"&amp;Inputs!$B$4)</f>
        <v>35801.583333333336</v>
      </c>
      <c r="C30" s="6">
        <f>AVERAGEIFS(History_MAT!$C$2:$C$548,History_MAT!$B$2:$B$548,WEEKDAY($A30,1),History_MAT!$A$2:$A$548,"&gt;="&amp;(Inputs!$B$4-Inputs!$B$10),History_MAT!$A$2:$A$548,"&lt;"&amp;Inputs!$B$4)</f>
        <v>20049.083333333332</v>
      </c>
      <c r="D30" s="6">
        <f>AVERAGEIFS(History_SIO!$C$2:$C$548,History_SIO!$B$2:$B$548,WEEKDAY($A30,1),History_SIO!$A$2:$A$548,"&gt;="&amp;(Inputs!$B$4-Inputs!$B$10),History_SIO!$A$2:$A$548,"&lt;"&amp;Inputs!$B$4)</f>
        <v>15752.75</v>
      </c>
      <c r="E30" s="6">
        <f>IF(AND($A30&gt;=Inputs!$B$8,$A30&lt;=Inputs!$B$9),B30*Inputs!$B$6,B30)</f>
        <v>35801.583333333336</v>
      </c>
      <c r="F30" s="6">
        <f>IF(AND($A30&gt;=Inputs!$B$8,$A30&lt;=Inputs!$B$9),C30*Inputs!$B$7,C30)</f>
        <v>20049.083333333332</v>
      </c>
      <c r="G30" s="6">
        <f>IF(AND($A30&gt;=Inputs!$B$8,$A30&lt;=Inputs!$B$9),D30*Inputs!$B$7,D30)</f>
        <v>15752.75</v>
      </c>
      <c r="H30" s="6">
        <f t="shared" si="0"/>
        <v>71603.416666666672</v>
      </c>
      <c r="I30" s="6">
        <f>IF($A30&lt;Inputs!$B$8,Inputs!$B$11,IF($A30&lt;=Inputs!$B$9,Inputs!$B$12,Inputs!$B$11))</f>
        <v>70000</v>
      </c>
    </row>
    <row r="31" spans="1:9" x14ac:dyDescent="0.45">
      <c r="A31" s="3">
        <v>46354</v>
      </c>
      <c r="B31" s="6">
        <f>AVERAGEIFS(History_DAD!$C$2:$C$548,History_DAD!$B$2:$B$548,WEEKDAY($A31,1),History_DAD!$A$2:$A$548,"&gt;="&amp;(Inputs!$B$4-Inputs!$B$10),History_DAD!$A$2:$A$548,"&lt;"&amp;Inputs!$B$4)</f>
        <v>39113.333333333336</v>
      </c>
      <c r="C31" s="6">
        <f>AVERAGEIFS(History_MAT!$C$2:$C$548,History_MAT!$B$2:$B$548,WEEKDAY($A31,1),History_MAT!$A$2:$A$548,"&gt;="&amp;(Inputs!$B$4-Inputs!$B$10),History_MAT!$A$2:$A$548,"&lt;"&amp;Inputs!$B$4)</f>
        <v>21903.333333333332</v>
      </c>
      <c r="D31" s="6">
        <f>AVERAGEIFS(History_SIO!$C$2:$C$548,History_SIO!$B$2:$B$548,WEEKDAY($A31,1),History_SIO!$A$2:$A$548,"&gt;="&amp;(Inputs!$B$4-Inputs!$B$10),History_SIO!$A$2:$A$548,"&lt;"&amp;Inputs!$B$4)</f>
        <v>17209.916666666668</v>
      </c>
      <c r="E31" s="6">
        <f>IF(AND($A31&gt;=Inputs!$B$8,$A31&lt;=Inputs!$B$9),B31*Inputs!$B$6,B31)</f>
        <v>39113.333333333336</v>
      </c>
      <c r="F31" s="6">
        <f>IF(AND($A31&gt;=Inputs!$B$8,$A31&lt;=Inputs!$B$9),C31*Inputs!$B$7,C31)</f>
        <v>21903.333333333332</v>
      </c>
      <c r="G31" s="6">
        <f>IF(AND($A31&gt;=Inputs!$B$8,$A31&lt;=Inputs!$B$9),D31*Inputs!$B$7,D31)</f>
        <v>17209.916666666668</v>
      </c>
      <c r="H31" s="6">
        <f t="shared" si="0"/>
        <v>78226.583333333343</v>
      </c>
      <c r="I31" s="6">
        <f>IF($A31&lt;Inputs!$B$8,Inputs!$B$11,IF($A31&lt;=Inputs!$B$9,Inputs!$B$12,Inputs!$B$11))</f>
        <v>70000</v>
      </c>
    </row>
    <row r="32" spans="1:9" x14ac:dyDescent="0.45">
      <c r="A32" s="3">
        <v>46355</v>
      </c>
      <c r="B32" s="6">
        <f>AVERAGEIFS(History_DAD!$C$2:$C$548,History_DAD!$B$2:$B$548,WEEKDAY($A32,1),History_DAD!$A$2:$A$548,"&gt;="&amp;(Inputs!$B$4-Inputs!$B$10),History_DAD!$A$2:$A$548,"&lt;"&amp;Inputs!$B$4)</f>
        <v>36355.5</v>
      </c>
      <c r="C32" s="6">
        <f>AVERAGEIFS(History_MAT!$C$2:$C$548,History_MAT!$B$2:$B$548,WEEKDAY($A32,1),History_MAT!$A$2:$A$548,"&gt;="&amp;(Inputs!$B$4-Inputs!$B$10),History_MAT!$A$2:$A$548,"&lt;"&amp;Inputs!$B$4)</f>
        <v>20359.166666666668</v>
      </c>
      <c r="D32" s="6">
        <f>AVERAGEIFS(History_SIO!$C$2:$C$548,History_SIO!$B$2:$B$548,WEEKDAY($A32,1),History_SIO!$A$2:$A$548,"&gt;="&amp;(Inputs!$B$4-Inputs!$B$10),History_SIO!$A$2:$A$548,"&lt;"&amp;Inputs!$B$4)</f>
        <v>15996.333333333334</v>
      </c>
      <c r="E32" s="6">
        <f>IF(AND($A32&gt;=Inputs!$B$8,$A32&lt;=Inputs!$B$9),B32*Inputs!$B$6,B32)</f>
        <v>36355.5</v>
      </c>
      <c r="F32" s="6">
        <f>IF(AND($A32&gt;=Inputs!$B$8,$A32&lt;=Inputs!$B$9),C32*Inputs!$B$7,C32)</f>
        <v>20359.166666666668</v>
      </c>
      <c r="G32" s="6">
        <f>IF(AND($A32&gt;=Inputs!$B$8,$A32&lt;=Inputs!$B$9),D32*Inputs!$B$7,D32)</f>
        <v>15996.333333333334</v>
      </c>
      <c r="H32" s="6">
        <f t="shared" si="0"/>
        <v>72711</v>
      </c>
      <c r="I32" s="6">
        <f>IF($A32&lt;Inputs!$B$8,Inputs!$B$11,IF($A32&lt;=Inputs!$B$9,Inputs!$B$12,Inputs!$B$11))</f>
        <v>70000</v>
      </c>
    </row>
    <row r="33" spans="1:9" x14ac:dyDescent="0.45">
      <c r="A33" s="3">
        <v>46356</v>
      </c>
      <c r="B33" s="6">
        <f>AVERAGEIFS(History_DAD!$C$2:$C$548,History_DAD!$B$2:$B$548,WEEKDAY($A33,1),History_DAD!$A$2:$A$548,"&gt;="&amp;(Inputs!$B$4-Inputs!$B$10),History_DAD!$A$2:$A$548,"&lt;"&amp;Inputs!$B$4)</f>
        <v>31997.333333333332</v>
      </c>
      <c r="C33" s="6">
        <f>AVERAGEIFS(History_MAT!$C$2:$C$548,History_MAT!$B$2:$B$548,WEEKDAY($A33,1),History_MAT!$A$2:$A$548,"&gt;="&amp;(Inputs!$B$4-Inputs!$B$10),History_MAT!$A$2:$A$548,"&lt;"&amp;Inputs!$B$4)</f>
        <v>17918.5</v>
      </c>
      <c r="D33" s="6">
        <f>AVERAGEIFS(History_SIO!$C$2:$C$548,History_SIO!$B$2:$B$548,WEEKDAY($A33,1),History_SIO!$A$2:$A$548,"&gt;="&amp;(Inputs!$B$4-Inputs!$B$10),History_SIO!$A$2:$A$548,"&lt;"&amp;Inputs!$B$4)</f>
        <v>14078.833333333334</v>
      </c>
      <c r="E33" s="6">
        <f>IF(AND($A33&gt;=Inputs!$B$8,$A33&lt;=Inputs!$B$9),B33*Inputs!$B$6,B33)</f>
        <v>31997.333333333332</v>
      </c>
      <c r="F33" s="6">
        <f>IF(AND($A33&gt;=Inputs!$B$8,$A33&lt;=Inputs!$B$9),C33*Inputs!$B$7,C33)</f>
        <v>17918.5</v>
      </c>
      <c r="G33" s="6">
        <f>IF(AND($A33&gt;=Inputs!$B$8,$A33&lt;=Inputs!$B$9),D33*Inputs!$B$7,D33)</f>
        <v>14078.833333333334</v>
      </c>
      <c r="H33" s="6">
        <f t="shared" si="0"/>
        <v>63994.666666666664</v>
      </c>
      <c r="I33" s="6">
        <f>IF($A33&lt;Inputs!$B$8,Inputs!$B$11,IF($A33&lt;=Inputs!$B$9,Inputs!$B$12,Inputs!$B$11))</f>
        <v>70000</v>
      </c>
    </row>
    <row r="34" spans="1:9" x14ac:dyDescent="0.45">
      <c r="A34" s="3">
        <v>46357</v>
      </c>
      <c r="B34" s="6">
        <f>AVERAGEIFS(History_DAD!$C$2:$C$548,History_DAD!$B$2:$B$548,WEEKDAY($A34,1),History_DAD!$A$2:$A$548,"&gt;="&amp;(Inputs!$B$4-Inputs!$B$10),History_DAD!$A$2:$A$548,"&lt;"&amp;Inputs!$B$4)</f>
        <v>33193.5</v>
      </c>
      <c r="C34" s="6">
        <f>AVERAGEIFS(History_MAT!$C$2:$C$548,History_MAT!$B$2:$B$548,WEEKDAY($A34,1),History_MAT!$A$2:$A$548,"&gt;="&amp;(Inputs!$B$4-Inputs!$B$10),History_MAT!$A$2:$A$548,"&lt;"&amp;Inputs!$B$4)</f>
        <v>18588.25</v>
      </c>
      <c r="D34" s="6">
        <f>AVERAGEIFS(History_SIO!$C$2:$C$548,History_SIO!$B$2:$B$548,WEEKDAY($A34,1),History_SIO!$A$2:$A$548,"&gt;="&amp;(Inputs!$B$4-Inputs!$B$10),History_SIO!$A$2:$A$548,"&lt;"&amp;Inputs!$B$4)</f>
        <v>14605.166666666666</v>
      </c>
      <c r="E34" s="6">
        <f>IF(AND($A34&gt;=Inputs!$B$8,$A34&lt;=Inputs!$B$9),B34*Inputs!$B$6,B34)</f>
        <v>33193.5</v>
      </c>
      <c r="F34" s="6">
        <f>IF(AND($A34&gt;=Inputs!$B$8,$A34&lt;=Inputs!$B$9),C34*Inputs!$B$7,C34)</f>
        <v>18588.25</v>
      </c>
      <c r="G34" s="6">
        <f>IF(AND($A34&gt;=Inputs!$B$8,$A34&lt;=Inputs!$B$9),D34*Inputs!$B$7,D34)</f>
        <v>14605.166666666666</v>
      </c>
      <c r="H34" s="6">
        <f t="shared" ref="H34:H65" si="1">E34+F34+G34</f>
        <v>66386.916666666672</v>
      </c>
      <c r="I34" s="6">
        <f>IF($A34&lt;Inputs!$B$8,Inputs!$B$11,IF($A34&lt;=Inputs!$B$9,Inputs!$B$12,Inputs!$B$11))</f>
        <v>70000</v>
      </c>
    </row>
    <row r="35" spans="1:9" x14ac:dyDescent="0.45">
      <c r="A35" s="3">
        <v>46358</v>
      </c>
      <c r="B35" s="6">
        <f>AVERAGEIFS(History_DAD!$C$2:$C$548,History_DAD!$B$2:$B$548,WEEKDAY($A35,1),History_DAD!$A$2:$A$548,"&gt;="&amp;(Inputs!$B$4-Inputs!$B$10),History_DAD!$A$2:$A$548,"&lt;"&amp;Inputs!$B$4)</f>
        <v>34045.833333333336</v>
      </c>
      <c r="C35" s="6">
        <f>AVERAGEIFS(History_MAT!$C$2:$C$548,History_MAT!$B$2:$B$548,WEEKDAY($A35,1),History_MAT!$A$2:$A$548,"&gt;="&amp;(Inputs!$B$4-Inputs!$B$10),History_MAT!$A$2:$A$548,"&lt;"&amp;Inputs!$B$4)</f>
        <v>19065.583333333332</v>
      </c>
      <c r="D35" s="6">
        <f>AVERAGEIFS(History_SIO!$C$2:$C$548,History_SIO!$B$2:$B$548,WEEKDAY($A35,1),History_SIO!$A$2:$A$548,"&gt;="&amp;(Inputs!$B$4-Inputs!$B$10),History_SIO!$A$2:$A$548,"&lt;"&amp;Inputs!$B$4)</f>
        <v>14980.166666666666</v>
      </c>
      <c r="E35" s="6">
        <f>IF(AND($A35&gt;=Inputs!$B$8,$A35&lt;=Inputs!$B$9),B35*Inputs!$B$6,B35)</f>
        <v>34045.833333333336</v>
      </c>
      <c r="F35" s="6">
        <f>IF(AND($A35&gt;=Inputs!$B$8,$A35&lt;=Inputs!$B$9),C35*Inputs!$B$7,C35)</f>
        <v>19065.583333333332</v>
      </c>
      <c r="G35" s="6">
        <f>IF(AND($A35&gt;=Inputs!$B$8,$A35&lt;=Inputs!$B$9),D35*Inputs!$B$7,D35)</f>
        <v>14980.166666666666</v>
      </c>
      <c r="H35" s="6">
        <f t="shared" si="1"/>
        <v>68091.583333333343</v>
      </c>
      <c r="I35" s="6">
        <f>IF($A35&lt;Inputs!$B$8,Inputs!$B$11,IF($A35&lt;=Inputs!$B$9,Inputs!$B$12,Inputs!$B$11))</f>
        <v>70000</v>
      </c>
    </row>
    <row r="36" spans="1:9" x14ac:dyDescent="0.45">
      <c r="A36" s="3">
        <v>46359</v>
      </c>
      <c r="B36" s="6">
        <f>AVERAGEIFS(History_DAD!$C$2:$C$548,History_DAD!$B$2:$B$548,WEEKDAY($A36,1),History_DAD!$A$2:$A$548,"&gt;="&amp;(Inputs!$B$4-Inputs!$B$10),History_DAD!$A$2:$A$548,"&lt;"&amp;Inputs!$B$4)</f>
        <v>34997.666666666664</v>
      </c>
      <c r="C36" s="6">
        <f>AVERAGEIFS(History_MAT!$C$2:$C$548,History_MAT!$B$2:$B$548,WEEKDAY($A36,1),History_MAT!$A$2:$A$548,"&gt;="&amp;(Inputs!$B$4-Inputs!$B$10),History_MAT!$A$2:$A$548,"&lt;"&amp;Inputs!$B$4)</f>
        <v>19598.75</v>
      </c>
      <c r="D36" s="6">
        <f>AVERAGEIFS(History_SIO!$C$2:$C$548,History_SIO!$B$2:$B$548,WEEKDAY($A36,1),History_SIO!$A$2:$A$548,"&gt;="&amp;(Inputs!$B$4-Inputs!$B$10),History_SIO!$A$2:$A$548,"&lt;"&amp;Inputs!$B$4)</f>
        <v>15398.916666666666</v>
      </c>
      <c r="E36" s="6">
        <f>IF(AND($A36&gt;=Inputs!$B$8,$A36&lt;=Inputs!$B$9),B36*Inputs!$B$6,B36)</f>
        <v>34997.666666666664</v>
      </c>
      <c r="F36" s="6">
        <f>IF(AND($A36&gt;=Inputs!$B$8,$A36&lt;=Inputs!$B$9),C36*Inputs!$B$7,C36)</f>
        <v>19598.75</v>
      </c>
      <c r="G36" s="6">
        <f>IF(AND($A36&gt;=Inputs!$B$8,$A36&lt;=Inputs!$B$9),D36*Inputs!$B$7,D36)</f>
        <v>15398.916666666666</v>
      </c>
      <c r="H36" s="6">
        <f t="shared" si="1"/>
        <v>69995.333333333328</v>
      </c>
      <c r="I36" s="6">
        <f>IF($A36&lt;Inputs!$B$8,Inputs!$B$11,IF($A36&lt;=Inputs!$B$9,Inputs!$B$12,Inputs!$B$11))</f>
        <v>70000</v>
      </c>
    </row>
    <row r="37" spans="1:9" x14ac:dyDescent="0.45">
      <c r="A37" s="3">
        <v>46360</v>
      </c>
      <c r="B37" s="6">
        <f>AVERAGEIFS(History_DAD!$C$2:$C$548,History_DAD!$B$2:$B$548,WEEKDAY($A37,1),History_DAD!$A$2:$A$548,"&gt;="&amp;(Inputs!$B$4-Inputs!$B$10),History_DAD!$A$2:$A$548,"&lt;"&amp;Inputs!$B$4)</f>
        <v>35801.583333333336</v>
      </c>
      <c r="C37" s="6">
        <f>AVERAGEIFS(History_MAT!$C$2:$C$548,History_MAT!$B$2:$B$548,WEEKDAY($A37,1),History_MAT!$A$2:$A$548,"&gt;="&amp;(Inputs!$B$4-Inputs!$B$10),History_MAT!$A$2:$A$548,"&lt;"&amp;Inputs!$B$4)</f>
        <v>20049.083333333332</v>
      </c>
      <c r="D37" s="6">
        <f>AVERAGEIFS(History_SIO!$C$2:$C$548,History_SIO!$B$2:$B$548,WEEKDAY($A37,1),History_SIO!$A$2:$A$548,"&gt;="&amp;(Inputs!$B$4-Inputs!$B$10),History_SIO!$A$2:$A$548,"&lt;"&amp;Inputs!$B$4)</f>
        <v>15752.75</v>
      </c>
      <c r="E37" s="6">
        <f>IF(AND($A37&gt;=Inputs!$B$8,$A37&lt;=Inputs!$B$9),B37*Inputs!$B$6,B37)</f>
        <v>35801.583333333336</v>
      </c>
      <c r="F37" s="6">
        <f>IF(AND($A37&gt;=Inputs!$B$8,$A37&lt;=Inputs!$B$9),C37*Inputs!$B$7,C37)</f>
        <v>20049.083333333332</v>
      </c>
      <c r="G37" s="6">
        <f>IF(AND($A37&gt;=Inputs!$B$8,$A37&lt;=Inputs!$B$9),D37*Inputs!$B$7,D37)</f>
        <v>15752.75</v>
      </c>
      <c r="H37" s="6">
        <f t="shared" si="1"/>
        <v>71603.416666666672</v>
      </c>
      <c r="I37" s="6">
        <f>IF($A37&lt;Inputs!$B$8,Inputs!$B$11,IF($A37&lt;=Inputs!$B$9,Inputs!$B$12,Inputs!$B$11))</f>
        <v>70000</v>
      </c>
    </row>
    <row r="38" spans="1:9" x14ac:dyDescent="0.45">
      <c r="A38" s="3">
        <v>46361</v>
      </c>
      <c r="B38" s="6">
        <f>AVERAGEIFS(History_DAD!$C$2:$C$548,History_DAD!$B$2:$B$548,WEEKDAY($A38,1),History_DAD!$A$2:$A$548,"&gt;="&amp;(Inputs!$B$4-Inputs!$B$10),History_DAD!$A$2:$A$548,"&lt;"&amp;Inputs!$B$4)</f>
        <v>39113.333333333336</v>
      </c>
      <c r="C38" s="6">
        <f>AVERAGEIFS(History_MAT!$C$2:$C$548,History_MAT!$B$2:$B$548,WEEKDAY($A38,1),History_MAT!$A$2:$A$548,"&gt;="&amp;(Inputs!$B$4-Inputs!$B$10),History_MAT!$A$2:$A$548,"&lt;"&amp;Inputs!$B$4)</f>
        <v>21903.333333333332</v>
      </c>
      <c r="D38" s="6">
        <f>AVERAGEIFS(History_SIO!$C$2:$C$548,History_SIO!$B$2:$B$548,WEEKDAY($A38,1),History_SIO!$A$2:$A$548,"&gt;="&amp;(Inputs!$B$4-Inputs!$B$10),History_SIO!$A$2:$A$548,"&lt;"&amp;Inputs!$B$4)</f>
        <v>17209.916666666668</v>
      </c>
      <c r="E38" s="6">
        <f>IF(AND($A38&gt;=Inputs!$B$8,$A38&lt;=Inputs!$B$9),B38*Inputs!$B$6,B38)</f>
        <v>39113.333333333336</v>
      </c>
      <c r="F38" s="6">
        <f>IF(AND($A38&gt;=Inputs!$B$8,$A38&lt;=Inputs!$B$9),C38*Inputs!$B$7,C38)</f>
        <v>21903.333333333332</v>
      </c>
      <c r="G38" s="6">
        <f>IF(AND($A38&gt;=Inputs!$B$8,$A38&lt;=Inputs!$B$9),D38*Inputs!$B$7,D38)</f>
        <v>17209.916666666668</v>
      </c>
      <c r="H38" s="6">
        <f t="shared" si="1"/>
        <v>78226.583333333343</v>
      </c>
      <c r="I38" s="6">
        <f>IF($A38&lt;Inputs!$B$8,Inputs!$B$11,IF($A38&lt;=Inputs!$B$9,Inputs!$B$12,Inputs!$B$11))</f>
        <v>70000</v>
      </c>
    </row>
    <row r="39" spans="1:9" x14ac:dyDescent="0.45">
      <c r="A39" s="3">
        <v>46362</v>
      </c>
      <c r="B39" s="6">
        <f>AVERAGEIFS(History_DAD!$C$2:$C$548,History_DAD!$B$2:$B$548,WEEKDAY($A39,1),History_DAD!$A$2:$A$548,"&gt;="&amp;(Inputs!$B$4-Inputs!$B$10),History_DAD!$A$2:$A$548,"&lt;"&amp;Inputs!$B$4)</f>
        <v>36355.5</v>
      </c>
      <c r="C39" s="6">
        <f>AVERAGEIFS(History_MAT!$C$2:$C$548,History_MAT!$B$2:$B$548,WEEKDAY($A39,1),History_MAT!$A$2:$A$548,"&gt;="&amp;(Inputs!$B$4-Inputs!$B$10),History_MAT!$A$2:$A$548,"&lt;"&amp;Inputs!$B$4)</f>
        <v>20359.166666666668</v>
      </c>
      <c r="D39" s="6">
        <f>AVERAGEIFS(History_SIO!$C$2:$C$548,History_SIO!$B$2:$B$548,WEEKDAY($A39,1),History_SIO!$A$2:$A$548,"&gt;="&amp;(Inputs!$B$4-Inputs!$B$10),History_SIO!$A$2:$A$548,"&lt;"&amp;Inputs!$B$4)</f>
        <v>15996.333333333334</v>
      </c>
      <c r="E39" s="6">
        <f>IF(AND($A39&gt;=Inputs!$B$8,$A39&lt;=Inputs!$B$9),B39*Inputs!$B$6,B39)</f>
        <v>36355.5</v>
      </c>
      <c r="F39" s="6">
        <f>IF(AND($A39&gt;=Inputs!$B$8,$A39&lt;=Inputs!$B$9),C39*Inputs!$B$7,C39)</f>
        <v>20359.166666666668</v>
      </c>
      <c r="G39" s="6">
        <f>IF(AND($A39&gt;=Inputs!$B$8,$A39&lt;=Inputs!$B$9),D39*Inputs!$B$7,D39)</f>
        <v>15996.333333333334</v>
      </c>
      <c r="H39" s="6">
        <f t="shared" si="1"/>
        <v>72711</v>
      </c>
      <c r="I39" s="6">
        <f>IF($A39&lt;Inputs!$B$8,Inputs!$B$11,IF($A39&lt;=Inputs!$B$9,Inputs!$B$12,Inputs!$B$11))</f>
        <v>70000</v>
      </c>
    </row>
    <row r="40" spans="1:9" x14ac:dyDescent="0.45">
      <c r="A40" s="3">
        <v>46363</v>
      </c>
      <c r="B40" s="6">
        <f>AVERAGEIFS(History_DAD!$C$2:$C$548,History_DAD!$B$2:$B$548,WEEKDAY($A40,1),History_DAD!$A$2:$A$548,"&gt;="&amp;(Inputs!$B$4-Inputs!$B$10),History_DAD!$A$2:$A$548,"&lt;"&amp;Inputs!$B$4)</f>
        <v>31997.333333333332</v>
      </c>
      <c r="C40" s="6">
        <f>AVERAGEIFS(History_MAT!$C$2:$C$548,History_MAT!$B$2:$B$548,WEEKDAY($A40,1),History_MAT!$A$2:$A$548,"&gt;="&amp;(Inputs!$B$4-Inputs!$B$10),History_MAT!$A$2:$A$548,"&lt;"&amp;Inputs!$B$4)</f>
        <v>17918.5</v>
      </c>
      <c r="D40" s="6">
        <f>AVERAGEIFS(History_SIO!$C$2:$C$548,History_SIO!$B$2:$B$548,WEEKDAY($A40,1),History_SIO!$A$2:$A$548,"&gt;="&amp;(Inputs!$B$4-Inputs!$B$10),History_SIO!$A$2:$A$548,"&lt;"&amp;Inputs!$B$4)</f>
        <v>14078.833333333334</v>
      </c>
      <c r="E40" s="6">
        <f>IF(AND($A40&gt;=Inputs!$B$8,$A40&lt;=Inputs!$B$9),B40*Inputs!$B$6,B40)</f>
        <v>31997.333333333332</v>
      </c>
      <c r="F40" s="6">
        <f>IF(AND($A40&gt;=Inputs!$B$8,$A40&lt;=Inputs!$B$9),C40*Inputs!$B$7,C40)</f>
        <v>17918.5</v>
      </c>
      <c r="G40" s="6">
        <f>IF(AND($A40&gt;=Inputs!$B$8,$A40&lt;=Inputs!$B$9),D40*Inputs!$B$7,D40)</f>
        <v>14078.833333333334</v>
      </c>
      <c r="H40" s="6">
        <f t="shared" si="1"/>
        <v>63994.666666666664</v>
      </c>
      <c r="I40" s="6">
        <f>IF($A40&lt;Inputs!$B$8,Inputs!$B$11,IF($A40&lt;=Inputs!$B$9,Inputs!$B$12,Inputs!$B$11))</f>
        <v>70000</v>
      </c>
    </row>
    <row r="41" spans="1:9" x14ac:dyDescent="0.45">
      <c r="A41" s="3">
        <v>46364</v>
      </c>
      <c r="B41" s="6">
        <f>AVERAGEIFS(History_DAD!$C$2:$C$548,History_DAD!$B$2:$B$548,WEEKDAY($A41,1),History_DAD!$A$2:$A$548,"&gt;="&amp;(Inputs!$B$4-Inputs!$B$10),History_DAD!$A$2:$A$548,"&lt;"&amp;Inputs!$B$4)</f>
        <v>33193.5</v>
      </c>
      <c r="C41" s="6">
        <f>AVERAGEIFS(History_MAT!$C$2:$C$548,History_MAT!$B$2:$B$548,WEEKDAY($A41,1),History_MAT!$A$2:$A$548,"&gt;="&amp;(Inputs!$B$4-Inputs!$B$10),History_MAT!$A$2:$A$548,"&lt;"&amp;Inputs!$B$4)</f>
        <v>18588.25</v>
      </c>
      <c r="D41" s="6">
        <f>AVERAGEIFS(History_SIO!$C$2:$C$548,History_SIO!$B$2:$B$548,WEEKDAY($A41,1),History_SIO!$A$2:$A$548,"&gt;="&amp;(Inputs!$B$4-Inputs!$B$10),History_SIO!$A$2:$A$548,"&lt;"&amp;Inputs!$B$4)</f>
        <v>14605.166666666666</v>
      </c>
      <c r="E41" s="6">
        <f>IF(AND($A41&gt;=Inputs!$B$8,$A41&lt;=Inputs!$B$9),B41*Inputs!$B$6,B41)</f>
        <v>33193.5</v>
      </c>
      <c r="F41" s="6">
        <f>IF(AND($A41&gt;=Inputs!$B$8,$A41&lt;=Inputs!$B$9),C41*Inputs!$B$7,C41)</f>
        <v>18588.25</v>
      </c>
      <c r="G41" s="6">
        <f>IF(AND($A41&gt;=Inputs!$B$8,$A41&lt;=Inputs!$B$9),D41*Inputs!$B$7,D41)</f>
        <v>14605.166666666666</v>
      </c>
      <c r="H41" s="6">
        <f t="shared" si="1"/>
        <v>66386.916666666672</v>
      </c>
      <c r="I41" s="6">
        <f>IF($A41&lt;Inputs!$B$8,Inputs!$B$11,IF($A41&lt;=Inputs!$B$9,Inputs!$B$12,Inputs!$B$11))</f>
        <v>70000</v>
      </c>
    </row>
    <row r="42" spans="1:9" x14ac:dyDescent="0.45">
      <c r="A42" s="3">
        <v>46365</v>
      </c>
      <c r="B42" s="6">
        <f>AVERAGEIFS(History_DAD!$C$2:$C$548,History_DAD!$B$2:$B$548,WEEKDAY($A42,1),History_DAD!$A$2:$A$548,"&gt;="&amp;(Inputs!$B$4-Inputs!$B$10),History_DAD!$A$2:$A$548,"&lt;"&amp;Inputs!$B$4)</f>
        <v>34045.833333333336</v>
      </c>
      <c r="C42" s="6">
        <f>AVERAGEIFS(History_MAT!$C$2:$C$548,History_MAT!$B$2:$B$548,WEEKDAY($A42,1),History_MAT!$A$2:$A$548,"&gt;="&amp;(Inputs!$B$4-Inputs!$B$10),History_MAT!$A$2:$A$548,"&lt;"&amp;Inputs!$B$4)</f>
        <v>19065.583333333332</v>
      </c>
      <c r="D42" s="6">
        <f>AVERAGEIFS(History_SIO!$C$2:$C$548,History_SIO!$B$2:$B$548,WEEKDAY($A42,1),History_SIO!$A$2:$A$548,"&gt;="&amp;(Inputs!$B$4-Inputs!$B$10),History_SIO!$A$2:$A$548,"&lt;"&amp;Inputs!$B$4)</f>
        <v>14980.166666666666</v>
      </c>
      <c r="E42" s="6">
        <f>IF(AND($A42&gt;=Inputs!$B$8,$A42&lt;=Inputs!$B$9),B42*Inputs!$B$6,B42)</f>
        <v>34045.833333333336</v>
      </c>
      <c r="F42" s="6">
        <f>IF(AND($A42&gt;=Inputs!$B$8,$A42&lt;=Inputs!$B$9),C42*Inputs!$B$7,C42)</f>
        <v>19065.583333333332</v>
      </c>
      <c r="G42" s="6">
        <f>IF(AND($A42&gt;=Inputs!$B$8,$A42&lt;=Inputs!$B$9),D42*Inputs!$B$7,D42)</f>
        <v>14980.166666666666</v>
      </c>
      <c r="H42" s="6">
        <f t="shared" si="1"/>
        <v>68091.583333333343</v>
      </c>
      <c r="I42" s="6">
        <f>IF($A42&lt;Inputs!$B$8,Inputs!$B$11,IF($A42&lt;=Inputs!$B$9,Inputs!$B$12,Inputs!$B$11))</f>
        <v>70000</v>
      </c>
    </row>
    <row r="43" spans="1:9" x14ac:dyDescent="0.45">
      <c r="A43" s="3">
        <v>46366</v>
      </c>
      <c r="B43" s="6">
        <f>AVERAGEIFS(History_DAD!$C$2:$C$548,History_DAD!$B$2:$B$548,WEEKDAY($A43,1),History_DAD!$A$2:$A$548,"&gt;="&amp;(Inputs!$B$4-Inputs!$B$10),History_DAD!$A$2:$A$548,"&lt;"&amp;Inputs!$B$4)</f>
        <v>34997.666666666664</v>
      </c>
      <c r="C43" s="6">
        <f>AVERAGEIFS(History_MAT!$C$2:$C$548,History_MAT!$B$2:$B$548,WEEKDAY($A43,1),History_MAT!$A$2:$A$548,"&gt;="&amp;(Inputs!$B$4-Inputs!$B$10),History_MAT!$A$2:$A$548,"&lt;"&amp;Inputs!$B$4)</f>
        <v>19598.75</v>
      </c>
      <c r="D43" s="6">
        <f>AVERAGEIFS(History_SIO!$C$2:$C$548,History_SIO!$B$2:$B$548,WEEKDAY($A43,1),History_SIO!$A$2:$A$548,"&gt;="&amp;(Inputs!$B$4-Inputs!$B$10),History_SIO!$A$2:$A$548,"&lt;"&amp;Inputs!$B$4)</f>
        <v>15398.916666666666</v>
      </c>
      <c r="E43" s="6">
        <f>IF(AND($A43&gt;=Inputs!$B$8,$A43&lt;=Inputs!$B$9),B43*Inputs!$B$6,B43)</f>
        <v>34997.666666666664</v>
      </c>
      <c r="F43" s="6">
        <f>IF(AND($A43&gt;=Inputs!$B$8,$A43&lt;=Inputs!$B$9),C43*Inputs!$B$7,C43)</f>
        <v>19598.75</v>
      </c>
      <c r="G43" s="6">
        <f>IF(AND($A43&gt;=Inputs!$B$8,$A43&lt;=Inputs!$B$9),D43*Inputs!$B$7,D43)</f>
        <v>15398.916666666666</v>
      </c>
      <c r="H43" s="6">
        <f t="shared" si="1"/>
        <v>69995.333333333328</v>
      </c>
      <c r="I43" s="6">
        <f>IF($A43&lt;Inputs!$B$8,Inputs!$B$11,IF($A43&lt;=Inputs!$B$9,Inputs!$B$12,Inputs!$B$11))</f>
        <v>70000</v>
      </c>
    </row>
    <row r="44" spans="1:9" x14ac:dyDescent="0.45">
      <c r="A44" s="3">
        <v>46367</v>
      </c>
      <c r="B44" s="6">
        <f>AVERAGEIFS(History_DAD!$C$2:$C$548,History_DAD!$B$2:$B$548,WEEKDAY($A44,1),History_DAD!$A$2:$A$548,"&gt;="&amp;(Inputs!$B$4-Inputs!$B$10),History_DAD!$A$2:$A$548,"&lt;"&amp;Inputs!$B$4)</f>
        <v>35801.583333333336</v>
      </c>
      <c r="C44" s="6">
        <f>AVERAGEIFS(History_MAT!$C$2:$C$548,History_MAT!$B$2:$B$548,WEEKDAY($A44,1),History_MAT!$A$2:$A$548,"&gt;="&amp;(Inputs!$B$4-Inputs!$B$10),History_MAT!$A$2:$A$548,"&lt;"&amp;Inputs!$B$4)</f>
        <v>20049.083333333332</v>
      </c>
      <c r="D44" s="6">
        <f>AVERAGEIFS(History_SIO!$C$2:$C$548,History_SIO!$B$2:$B$548,WEEKDAY($A44,1),History_SIO!$A$2:$A$548,"&gt;="&amp;(Inputs!$B$4-Inputs!$B$10),History_SIO!$A$2:$A$548,"&lt;"&amp;Inputs!$B$4)</f>
        <v>15752.75</v>
      </c>
      <c r="E44" s="6">
        <f>IF(AND($A44&gt;=Inputs!$B$8,$A44&lt;=Inputs!$B$9),B44*Inputs!$B$6,B44)</f>
        <v>35801.583333333336</v>
      </c>
      <c r="F44" s="6">
        <f>IF(AND($A44&gt;=Inputs!$B$8,$A44&lt;=Inputs!$B$9),C44*Inputs!$B$7,C44)</f>
        <v>20049.083333333332</v>
      </c>
      <c r="G44" s="6">
        <f>IF(AND($A44&gt;=Inputs!$B$8,$A44&lt;=Inputs!$B$9),D44*Inputs!$B$7,D44)</f>
        <v>15752.75</v>
      </c>
      <c r="H44" s="6">
        <f t="shared" si="1"/>
        <v>71603.416666666672</v>
      </c>
      <c r="I44" s="6">
        <f>IF($A44&lt;Inputs!$B$8,Inputs!$B$11,IF($A44&lt;=Inputs!$B$9,Inputs!$B$12,Inputs!$B$11))</f>
        <v>70000</v>
      </c>
    </row>
    <row r="45" spans="1:9" x14ac:dyDescent="0.45">
      <c r="A45" s="3">
        <v>46368</v>
      </c>
      <c r="B45" s="6">
        <f>AVERAGEIFS(History_DAD!$C$2:$C$548,History_DAD!$B$2:$B$548,WEEKDAY($A45,1),History_DAD!$A$2:$A$548,"&gt;="&amp;(Inputs!$B$4-Inputs!$B$10),History_DAD!$A$2:$A$548,"&lt;"&amp;Inputs!$B$4)</f>
        <v>39113.333333333336</v>
      </c>
      <c r="C45" s="6">
        <f>AVERAGEIFS(History_MAT!$C$2:$C$548,History_MAT!$B$2:$B$548,WEEKDAY($A45,1),History_MAT!$A$2:$A$548,"&gt;="&amp;(Inputs!$B$4-Inputs!$B$10),History_MAT!$A$2:$A$548,"&lt;"&amp;Inputs!$B$4)</f>
        <v>21903.333333333332</v>
      </c>
      <c r="D45" s="6">
        <f>AVERAGEIFS(History_SIO!$C$2:$C$548,History_SIO!$B$2:$B$548,WEEKDAY($A45,1),History_SIO!$A$2:$A$548,"&gt;="&amp;(Inputs!$B$4-Inputs!$B$10),History_SIO!$A$2:$A$548,"&lt;"&amp;Inputs!$B$4)</f>
        <v>17209.916666666668</v>
      </c>
      <c r="E45" s="6">
        <f>IF(AND($A45&gt;=Inputs!$B$8,$A45&lt;=Inputs!$B$9),B45*Inputs!$B$6,B45)</f>
        <v>39113.333333333336</v>
      </c>
      <c r="F45" s="6">
        <f>IF(AND($A45&gt;=Inputs!$B$8,$A45&lt;=Inputs!$B$9),C45*Inputs!$B$7,C45)</f>
        <v>21903.333333333332</v>
      </c>
      <c r="G45" s="6">
        <f>IF(AND($A45&gt;=Inputs!$B$8,$A45&lt;=Inputs!$B$9),D45*Inputs!$B$7,D45)</f>
        <v>17209.916666666668</v>
      </c>
      <c r="H45" s="6">
        <f t="shared" si="1"/>
        <v>78226.583333333343</v>
      </c>
      <c r="I45" s="6">
        <f>IF($A45&lt;Inputs!$B$8,Inputs!$B$11,IF($A45&lt;=Inputs!$B$9,Inputs!$B$12,Inputs!$B$11))</f>
        <v>70000</v>
      </c>
    </row>
    <row r="46" spans="1:9" x14ac:dyDescent="0.45">
      <c r="A46" s="3">
        <v>46369</v>
      </c>
      <c r="B46" s="6">
        <f>AVERAGEIFS(History_DAD!$C$2:$C$548,History_DAD!$B$2:$B$548,WEEKDAY($A46,1),History_DAD!$A$2:$A$548,"&gt;="&amp;(Inputs!$B$4-Inputs!$B$10),History_DAD!$A$2:$A$548,"&lt;"&amp;Inputs!$B$4)</f>
        <v>36355.5</v>
      </c>
      <c r="C46" s="6">
        <f>AVERAGEIFS(History_MAT!$C$2:$C$548,History_MAT!$B$2:$B$548,WEEKDAY($A46,1),History_MAT!$A$2:$A$548,"&gt;="&amp;(Inputs!$B$4-Inputs!$B$10),History_MAT!$A$2:$A$548,"&lt;"&amp;Inputs!$B$4)</f>
        <v>20359.166666666668</v>
      </c>
      <c r="D46" s="6">
        <f>AVERAGEIFS(History_SIO!$C$2:$C$548,History_SIO!$B$2:$B$548,WEEKDAY($A46,1),History_SIO!$A$2:$A$548,"&gt;="&amp;(Inputs!$B$4-Inputs!$B$10),History_SIO!$A$2:$A$548,"&lt;"&amp;Inputs!$B$4)</f>
        <v>15996.333333333334</v>
      </c>
      <c r="E46" s="6">
        <f>IF(AND($A46&gt;=Inputs!$B$8,$A46&lt;=Inputs!$B$9),B46*Inputs!$B$6,B46)</f>
        <v>36355.5</v>
      </c>
      <c r="F46" s="6">
        <f>IF(AND($A46&gt;=Inputs!$B$8,$A46&lt;=Inputs!$B$9),C46*Inputs!$B$7,C46)</f>
        <v>20359.166666666668</v>
      </c>
      <c r="G46" s="6">
        <f>IF(AND($A46&gt;=Inputs!$B$8,$A46&lt;=Inputs!$B$9),D46*Inputs!$B$7,D46)</f>
        <v>15996.333333333334</v>
      </c>
      <c r="H46" s="6">
        <f t="shared" si="1"/>
        <v>72711</v>
      </c>
      <c r="I46" s="6">
        <f>IF($A46&lt;Inputs!$B$8,Inputs!$B$11,IF($A46&lt;=Inputs!$B$9,Inputs!$B$12,Inputs!$B$11))</f>
        <v>70000</v>
      </c>
    </row>
    <row r="47" spans="1:9" x14ac:dyDescent="0.45">
      <c r="A47" s="3">
        <v>46370</v>
      </c>
      <c r="B47" s="6">
        <f>AVERAGEIFS(History_DAD!$C$2:$C$548,History_DAD!$B$2:$B$548,WEEKDAY($A47,1),History_DAD!$A$2:$A$548,"&gt;="&amp;(Inputs!$B$4-Inputs!$B$10),History_DAD!$A$2:$A$548,"&lt;"&amp;Inputs!$B$4)</f>
        <v>31997.333333333332</v>
      </c>
      <c r="C47" s="6">
        <f>AVERAGEIFS(History_MAT!$C$2:$C$548,History_MAT!$B$2:$B$548,WEEKDAY($A47,1),History_MAT!$A$2:$A$548,"&gt;="&amp;(Inputs!$B$4-Inputs!$B$10),History_MAT!$A$2:$A$548,"&lt;"&amp;Inputs!$B$4)</f>
        <v>17918.5</v>
      </c>
      <c r="D47" s="6">
        <f>AVERAGEIFS(History_SIO!$C$2:$C$548,History_SIO!$B$2:$B$548,WEEKDAY($A47,1),History_SIO!$A$2:$A$548,"&gt;="&amp;(Inputs!$B$4-Inputs!$B$10),History_SIO!$A$2:$A$548,"&lt;"&amp;Inputs!$B$4)</f>
        <v>14078.833333333334</v>
      </c>
      <c r="E47" s="6">
        <f>IF(AND($A47&gt;=Inputs!$B$8,$A47&lt;=Inputs!$B$9),B47*Inputs!$B$6,B47)</f>
        <v>31997.333333333332</v>
      </c>
      <c r="F47" s="6">
        <f>IF(AND($A47&gt;=Inputs!$B$8,$A47&lt;=Inputs!$B$9),C47*Inputs!$B$7,C47)</f>
        <v>17918.5</v>
      </c>
      <c r="G47" s="6">
        <f>IF(AND($A47&gt;=Inputs!$B$8,$A47&lt;=Inputs!$B$9),D47*Inputs!$B$7,D47)</f>
        <v>14078.833333333334</v>
      </c>
      <c r="H47" s="6">
        <f t="shared" si="1"/>
        <v>63994.666666666664</v>
      </c>
      <c r="I47" s="6">
        <f>IF($A47&lt;Inputs!$B$8,Inputs!$B$11,IF($A47&lt;=Inputs!$B$9,Inputs!$B$12,Inputs!$B$11))</f>
        <v>70000</v>
      </c>
    </row>
    <row r="48" spans="1:9" x14ac:dyDescent="0.45">
      <c r="A48" s="3">
        <v>46371</v>
      </c>
      <c r="B48" s="6">
        <f>AVERAGEIFS(History_DAD!$C$2:$C$548,History_DAD!$B$2:$B$548,WEEKDAY($A48,1),History_DAD!$A$2:$A$548,"&gt;="&amp;(Inputs!$B$4-Inputs!$B$10),History_DAD!$A$2:$A$548,"&lt;"&amp;Inputs!$B$4)</f>
        <v>33193.5</v>
      </c>
      <c r="C48" s="6">
        <f>AVERAGEIFS(History_MAT!$C$2:$C$548,History_MAT!$B$2:$B$548,WEEKDAY($A48,1),History_MAT!$A$2:$A$548,"&gt;="&amp;(Inputs!$B$4-Inputs!$B$10),History_MAT!$A$2:$A$548,"&lt;"&amp;Inputs!$B$4)</f>
        <v>18588.25</v>
      </c>
      <c r="D48" s="6">
        <f>AVERAGEIFS(History_SIO!$C$2:$C$548,History_SIO!$B$2:$B$548,WEEKDAY($A48,1),History_SIO!$A$2:$A$548,"&gt;="&amp;(Inputs!$B$4-Inputs!$B$10),History_SIO!$A$2:$A$548,"&lt;"&amp;Inputs!$B$4)</f>
        <v>14605.166666666666</v>
      </c>
      <c r="E48" s="6">
        <f>IF(AND($A48&gt;=Inputs!$B$8,$A48&lt;=Inputs!$B$9),B48*Inputs!$B$6,B48)</f>
        <v>33193.5</v>
      </c>
      <c r="F48" s="6">
        <f>IF(AND($A48&gt;=Inputs!$B$8,$A48&lt;=Inputs!$B$9),C48*Inputs!$B$7,C48)</f>
        <v>18588.25</v>
      </c>
      <c r="G48" s="6">
        <f>IF(AND($A48&gt;=Inputs!$B$8,$A48&lt;=Inputs!$B$9),D48*Inputs!$B$7,D48)</f>
        <v>14605.166666666666</v>
      </c>
      <c r="H48" s="6">
        <f t="shared" si="1"/>
        <v>66386.916666666672</v>
      </c>
      <c r="I48" s="6">
        <f>IF($A48&lt;Inputs!$B$8,Inputs!$B$11,IF($A48&lt;=Inputs!$B$9,Inputs!$B$12,Inputs!$B$11))</f>
        <v>70000</v>
      </c>
    </row>
    <row r="49" spans="1:9" x14ac:dyDescent="0.45">
      <c r="A49" s="3">
        <v>46372</v>
      </c>
      <c r="B49" s="6">
        <f>AVERAGEIFS(History_DAD!$C$2:$C$548,History_DAD!$B$2:$B$548,WEEKDAY($A49,1),History_DAD!$A$2:$A$548,"&gt;="&amp;(Inputs!$B$4-Inputs!$B$10),History_DAD!$A$2:$A$548,"&lt;"&amp;Inputs!$B$4)</f>
        <v>34045.833333333336</v>
      </c>
      <c r="C49" s="6">
        <f>AVERAGEIFS(History_MAT!$C$2:$C$548,History_MAT!$B$2:$B$548,WEEKDAY($A49,1),History_MAT!$A$2:$A$548,"&gt;="&amp;(Inputs!$B$4-Inputs!$B$10),History_MAT!$A$2:$A$548,"&lt;"&amp;Inputs!$B$4)</f>
        <v>19065.583333333332</v>
      </c>
      <c r="D49" s="6">
        <f>AVERAGEIFS(History_SIO!$C$2:$C$548,History_SIO!$B$2:$B$548,WEEKDAY($A49,1),History_SIO!$A$2:$A$548,"&gt;="&amp;(Inputs!$B$4-Inputs!$B$10),History_SIO!$A$2:$A$548,"&lt;"&amp;Inputs!$B$4)</f>
        <v>14980.166666666666</v>
      </c>
      <c r="E49" s="6">
        <f>IF(AND($A49&gt;=Inputs!$B$8,$A49&lt;=Inputs!$B$9),B49*Inputs!$B$6,B49)</f>
        <v>34045.833333333336</v>
      </c>
      <c r="F49" s="6">
        <f>IF(AND($A49&gt;=Inputs!$B$8,$A49&lt;=Inputs!$B$9),C49*Inputs!$B$7,C49)</f>
        <v>19065.583333333332</v>
      </c>
      <c r="G49" s="6">
        <f>IF(AND($A49&gt;=Inputs!$B$8,$A49&lt;=Inputs!$B$9),D49*Inputs!$B$7,D49)</f>
        <v>14980.166666666666</v>
      </c>
      <c r="H49" s="6">
        <f t="shared" si="1"/>
        <v>68091.583333333343</v>
      </c>
      <c r="I49" s="6">
        <f>IF($A49&lt;Inputs!$B$8,Inputs!$B$11,IF($A49&lt;=Inputs!$B$9,Inputs!$B$12,Inputs!$B$11))</f>
        <v>70000</v>
      </c>
    </row>
    <row r="50" spans="1:9" x14ac:dyDescent="0.45">
      <c r="A50" s="3">
        <v>46373</v>
      </c>
      <c r="B50" s="6">
        <f>AVERAGEIFS(History_DAD!$C$2:$C$548,History_DAD!$B$2:$B$548,WEEKDAY($A50,1),History_DAD!$A$2:$A$548,"&gt;="&amp;(Inputs!$B$4-Inputs!$B$10),History_DAD!$A$2:$A$548,"&lt;"&amp;Inputs!$B$4)</f>
        <v>34997.666666666664</v>
      </c>
      <c r="C50" s="6">
        <f>AVERAGEIFS(History_MAT!$C$2:$C$548,History_MAT!$B$2:$B$548,WEEKDAY($A50,1),History_MAT!$A$2:$A$548,"&gt;="&amp;(Inputs!$B$4-Inputs!$B$10),History_MAT!$A$2:$A$548,"&lt;"&amp;Inputs!$B$4)</f>
        <v>19598.75</v>
      </c>
      <c r="D50" s="6">
        <f>AVERAGEIFS(History_SIO!$C$2:$C$548,History_SIO!$B$2:$B$548,WEEKDAY($A50,1),History_SIO!$A$2:$A$548,"&gt;="&amp;(Inputs!$B$4-Inputs!$B$10),History_SIO!$A$2:$A$548,"&lt;"&amp;Inputs!$B$4)</f>
        <v>15398.916666666666</v>
      </c>
      <c r="E50" s="6">
        <f>IF(AND($A50&gt;=Inputs!$B$8,$A50&lt;=Inputs!$B$9),B50*Inputs!$B$6,B50)</f>
        <v>34997.666666666664</v>
      </c>
      <c r="F50" s="6">
        <f>IF(AND($A50&gt;=Inputs!$B$8,$A50&lt;=Inputs!$B$9),C50*Inputs!$B$7,C50)</f>
        <v>19598.75</v>
      </c>
      <c r="G50" s="6">
        <f>IF(AND($A50&gt;=Inputs!$B$8,$A50&lt;=Inputs!$B$9),D50*Inputs!$B$7,D50)</f>
        <v>15398.916666666666</v>
      </c>
      <c r="H50" s="6">
        <f t="shared" si="1"/>
        <v>69995.333333333328</v>
      </c>
      <c r="I50" s="6">
        <f>IF($A50&lt;Inputs!$B$8,Inputs!$B$11,IF($A50&lt;=Inputs!$B$9,Inputs!$B$12,Inputs!$B$11))</f>
        <v>70000</v>
      </c>
    </row>
    <row r="51" spans="1:9" x14ac:dyDescent="0.45">
      <c r="A51" s="3">
        <v>46374</v>
      </c>
      <c r="B51" s="6">
        <f>AVERAGEIFS(History_DAD!$C$2:$C$548,History_DAD!$B$2:$B$548,WEEKDAY($A51,1),History_DAD!$A$2:$A$548,"&gt;="&amp;(Inputs!$B$4-Inputs!$B$10),History_DAD!$A$2:$A$548,"&lt;"&amp;Inputs!$B$4)</f>
        <v>35801.583333333336</v>
      </c>
      <c r="C51" s="6">
        <f>AVERAGEIFS(History_MAT!$C$2:$C$548,History_MAT!$B$2:$B$548,WEEKDAY($A51,1),History_MAT!$A$2:$A$548,"&gt;="&amp;(Inputs!$B$4-Inputs!$B$10),History_MAT!$A$2:$A$548,"&lt;"&amp;Inputs!$B$4)</f>
        <v>20049.083333333332</v>
      </c>
      <c r="D51" s="6">
        <f>AVERAGEIFS(History_SIO!$C$2:$C$548,History_SIO!$B$2:$B$548,WEEKDAY($A51,1),History_SIO!$A$2:$A$548,"&gt;="&amp;(Inputs!$B$4-Inputs!$B$10),History_SIO!$A$2:$A$548,"&lt;"&amp;Inputs!$B$4)</f>
        <v>15752.75</v>
      </c>
      <c r="E51" s="6">
        <f>IF(AND($A51&gt;=Inputs!$B$8,$A51&lt;=Inputs!$B$9),B51*Inputs!$B$6,B51)</f>
        <v>35801.583333333336</v>
      </c>
      <c r="F51" s="6">
        <f>IF(AND($A51&gt;=Inputs!$B$8,$A51&lt;=Inputs!$B$9),C51*Inputs!$B$7,C51)</f>
        <v>20049.083333333332</v>
      </c>
      <c r="G51" s="6">
        <f>IF(AND($A51&gt;=Inputs!$B$8,$A51&lt;=Inputs!$B$9),D51*Inputs!$B$7,D51)</f>
        <v>15752.75</v>
      </c>
      <c r="H51" s="6">
        <f t="shared" si="1"/>
        <v>71603.416666666672</v>
      </c>
      <c r="I51" s="6">
        <f>IF($A51&lt;Inputs!$B$8,Inputs!$B$11,IF($A51&lt;=Inputs!$B$9,Inputs!$B$12,Inputs!$B$11))</f>
        <v>70000</v>
      </c>
    </row>
    <row r="52" spans="1:9" x14ac:dyDescent="0.45">
      <c r="A52" s="3">
        <v>46375</v>
      </c>
      <c r="B52" s="6">
        <f>AVERAGEIFS(History_DAD!$C$2:$C$548,History_DAD!$B$2:$B$548,WEEKDAY($A52,1),History_DAD!$A$2:$A$548,"&gt;="&amp;(Inputs!$B$4-Inputs!$B$10),History_DAD!$A$2:$A$548,"&lt;"&amp;Inputs!$B$4)</f>
        <v>39113.333333333336</v>
      </c>
      <c r="C52" s="6">
        <f>AVERAGEIFS(History_MAT!$C$2:$C$548,History_MAT!$B$2:$B$548,WEEKDAY($A52,1),History_MAT!$A$2:$A$548,"&gt;="&amp;(Inputs!$B$4-Inputs!$B$10),History_MAT!$A$2:$A$548,"&lt;"&amp;Inputs!$B$4)</f>
        <v>21903.333333333332</v>
      </c>
      <c r="D52" s="6">
        <f>AVERAGEIFS(History_SIO!$C$2:$C$548,History_SIO!$B$2:$B$548,WEEKDAY($A52,1),History_SIO!$A$2:$A$548,"&gt;="&amp;(Inputs!$B$4-Inputs!$B$10),History_SIO!$A$2:$A$548,"&lt;"&amp;Inputs!$B$4)</f>
        <v>17209.916666666668</v>
      </c>
      <c r="E52" s="6">
        <f>IF(AND($A52&gt;=Inputs!$B$8,$A52&lt;=Inputs!$B$9),B52*Inputs!$B$6,B52)</f>
        <v>39113.333333333336</v>
      </c>
      <c r="F52" s="6">
        <f>IF(AND($A52&gt;=Inputs!$B$8,$A52&lt;=Inputs!$B$9),C52*Inputs!$B$7,C52)</f>
        <v>21903.333333333332</v>
      </c>
      <c r="G52" s="6">
        <f>IF(AND($A52&gt;=Inputs!$B$8,$A52&lt;=Inputs!$B$9),D52*Inputs!$B$7,D52)</f>
        <v>17209.916666666668</v>
      </c>
      <c r="H52" s="6">
        <f t="shared" si="1"/>
        <v>78226.583333333343</v>
      </c>
      <c r="I52" s="6">
        <f>IF($A52&lt;Inputs!$B$8,Inputs!$B$11,IF($A52&lt;=Inputs!$B$9,Inputs!$B$12,Inputs!$B$11))</f>
        <v>70000</v>
      </c>
    </row>
    <row r="53" spans="1:9" x14ac:dyDescent="0.45">
      <c r="A53" s="3">
        <v>46376</v>
      </c>
      <c r="B53" s="6">
        <f>AVERAGEIFS(History_DAD!$C$2:$C$548,History_DAD!$B$2:$B$548,WEEKDAY($A53,1),History_DAD!$A$2:$A$548,"&gt;="&amp;(Inputs!$B$4-Inputs!$B$10),History_DAD!$A$2:$A$548,"&lt;"&amp;Inputs!$B$4)</f>
        <v>36355.5</v>
      </c>
      <c r="C53" s="6">
        <f>AVERAGEIFS(History_MAT!$C$2:$C$548,History_MAT!$B$2:$B$548,WEEKDAY($A53,1),History_MAT!$A$2:$A$548,"&gt;="&amp;(Inputs!$B$4-Inputs!$B$10),History_MAT!$A$2:$A$548,"&lt;"&amp;Inputs!$B$4)</f>
        <v>20359.166666666668</v>
      </c>
      <c r="D53" s="6">
        <f>AVERAGEIFS(History_SIO!$C$2:$C$548,History_SIO!$B$2:$B$548,WEEKDAY($A53,1),History_SIO!$A$2:$A$548,"&gt;="&amp;(Inputs!$B$4-Inputs!$B$10),History_SIO!$A$2:$A$548,"&lt;"&amp;Inputs!$B$4)</f>
        <v>15996.333333333334</v>
      </c>
      <c r="E53" s="6">
        <f>IF(AND($A53&gt;=Inputs!$B$8,$A53&lt;=Inputs!$B$9),B53*Inputs!$B$6,B53)</f>
        <v>36355.5</v>
      </c>
      <c r="F53" s="6">
        <f>IF(AND($A53&gt;=Inputs!$B$8,$A53&lt;=Inputs!$B$9),C53*Inputs!$B$7,C53)</f>
        <v>20359.166666666668</v>
      </c>
      <c r="G53" s="6">
        <f>IF(AND($A53&gt;=Inputs!$B$8,$A53&lt;=Inputs!$B$9),D53*Inputs!$B$7,D53)</f>
        <v>15996.333333333334</v>
      </c>
      <c r="H53" s="6">
        <f t="shared" si="1"/>
        <v>72711</v>
      </c>
      <c r="I53" s="6">
        <f>IF($A53&lt;Inputs!$B$8,Inputs!$B$11,IF($A53&lt;=Inputs!$B$9,Inputs!$B$12,Inputs!$B$11))</f>
        <v>70000</v>
      </c>
    </row>
    <row r="54" spans="1:9" x14ac:dyDescent="0.45">
      <c r="A54" s="3">
        <v>46377</v>
      </c>
      <c r="B54" s="6">
        <f>AVERAGEIFS(History_DAD!$C$2:$C$548,History_DAD!$B$2:$B$548,WEEKDAY($A54,1),History_DAD!$A$2:$A$548,"&gt;="&amp;(Inputs!$B$4-Inputs!$B$10),History_DAD!$A$2:$A$548,"&lt;"&amp;Inputs!$B$4)</f>
        <v>31997.333333333332</v>
      </c>
      <c r="C54" s="6">
        <f>AVERAGEIFS(History_MAT!$C$2:$C$548,History_MAT!$B$2:$B$548,WEEKDAY($A54,1),History_MAT!$A$2:$A$548,"&gt;="&amp;(Inputs!$B$4-Inputs!$B$10),History_MAT!$A$2:$A$548,"&lt;"&amp;Inputs!$B$4)</f>
        <v>17918.5</v>
      </c>
      <c r="D54" s="6">
        <f>AVERAGEIFS(History_SIO!$C$2:$C$548,History_SIO!$B$2:$B$548,WEEKDAY($A54,1),History_SIO!$A$2:$A$548,"&gt;="&amp;(Inputs!$B$4-Inputs!$B$10),History_SIO!$A$2:$A$548,"&lt;"&amp;Inputs!$B$4)</f>
        <v>14078.833333333334</v>
      </c>
      <c r="E54" s="6">
        <f>IF(AND($A54&gt;=Inputs!$B$8,$A54&lt;=Inputs!$B$9),B54*Inputs!$B$6,B54)</f>
        <v>31997.333333333332</v>
      </c>
      <c r="F54" s="6">
        <f>IF(AND($A54&gt;=Inputs!$B$8,$A54&lt;=Inputs!$B$9),C54*Inputs!$B$7,C54)</f>
        <v>17918.5</v>
      </c>
      <c r="G54" s="6">
        <f>IF(AND($A54&gt;=Inputs!$B$8,$A54&lt;=Inputs!$B$9),D54*Inputs!$B$7,D54)</f>
        <v>14078.833333333334</v>
      </c>
      <c r="H54" s="6">
        <f t="shared" si="1"/>
        <v>63994.666666666664</v>
      </c>
      <c r="I54" s="6">
        <f>IF($A54&lt;Inputs!$B$8,Inputs!$B$11,IF($A54&lt;=Inputs!$B$9,Inputs!$B$12,Inputs!$B$11))</f>
        <v>70000</v>
      </c>
    </row>
    <row r="55" spans="1:9" x14ac:dyDescent="0.45">
      <c r="A55" s="3">
        <v>46378</v>
      </c>
      <c r="B55" s="6">
        <f>AVERAGEIFS(History_DAD!$C$2:$C$548,History_DAD!$B$2:$B$548,WEEKDAY($A55,1),History_DAD!$A$2:$A$548,"&gt;="&amp;(Inputs!$B$4-Inputs!$B$10),History_DAD!$A$2:$A$548,"&lt;"&amp;Inputs!$B$4)</f>
        <v>33193.5</v>
      </c>
      <c r="C55" s="6">
        <f>AVERAGEIFS(History_MAT!$C$2:$C$548,History_MAT!$B$2:$B$548,WEEKDAY($A55,1),History_MAT!$A$2:$A$548,"&gt;="&amp;(Inputs!$B$4-Inputs!$B$10),History_MAT!$A$2:$A$548,"&lt;"&amp;Inputs!$B$4)</f>
        <v>18588.25</v>
      </c>
      <c r="D55" s="6">
        <f>AVERAGEIFS(History_SIO!$C$2:$C$548,History_SIO!$B$2:$B$548,WEEKDAY($A55,1),History_SIO!$A$2:$A$548,"&gt;="&amp;(Inputs!$B$4-Inputs!$B$10),History_SIO!$A$2:$A$548,"&lt;"&amp;Inputs!$B$4)</f>
        <v>14605.166666666666</v>
      </c>
      <c r="E55" s="6">
        <f>IF(AND($A55&gt;=Inputs!$B$8,$A55&lt;=Inputs!$B$9),B55*Inputs!$B$6,B55)</f>
        <v>33193.5</v>
      </c>
      <c r="F55" s="6">
        <f>IF(AND($A55&gt;=Inputs!$B$8,$A55&lt;=Inputs!$B$9),C55*Inputs!$B$7,C55)</f>
        <v>18588.25</v>
      </c>
      <c r="G55" s="6">
        <f>IF(AND($A55&gt;=Inputs!$B$8,$A55&lt;=Inputs!$B$9),D55*Inputs!$B$7,D55)</f>
        <v>14605.166666666666</v>
      </c>
      <c r="H55" s="6">
        <f t="shared" si="1"/>
        <v>66386.916666666672</v>
      </c>
      <c r="I55" s="6">
        <f>IF($A55&lt;Inputs!$B$8,Inputs!$B$11,IF($A55&lt;=Inputs!$B$9,Inputs!$B$12,Inputs!$B$11))</f>
        <v>70000</v>
      </c>
    </row>
    <row r="56" spans="1:9" x14ac:dyDescent="0.45">
      <c r="A56" s="3">
        <v>46379</v>
      </c>
      <c r="B56" s="6">
        <f>AVERAGEIFS(History_DAD!$C$2:$C$548,History_DAD!$B$2:$B$548,WEEKDAY($A56,1),History_DAD!$A$2:$A$548,"&gt;="&amp;(Inputs!$B$4-Inputs!$B$10),History_DAD!$A$2:$A$548,"&lt;"&amp;Inputs!$B$4)</f>
        <v>34045.833333333336</v>
      </c>
      <c r="C56" s="6">
        <f>AVERAGEIFS(History_MAT!$C$2:$C$548,History_MAT!$B$2:$B$548,WEEKDAY($A56,1),History_MAT!$A$2:$A$548,"&gt;="&amp;(Inputs!$B$4-Inputs!$B$10),History_MAT!$A$2:$A$548,"&lt;"&amp;Inputs!$B$4)</f>
        <v>19065.583333333332</v>
      </c>
      <c r="D56" s="6">
        <f>AVERAGEIFS(History_SIO!$C$2:$C$548,History_SIO!$B$2:$B$548,WEEKDAY($A56,1),History_SIO!$A$2:$A$548,"&gt;="&amp;(Inputs!$B$4-Inputs!$B$10),History_SIO!$A$2:$A$548,"&lt;"&amp;Inputs!$B$4)</f>
        <v>14980.166666666666</v>
      </c>
      <c r="E56" s="6">
        <f>IF(AND($A56&gt;=Inputs!$B$8,$A56&lt;=Inputs!$B$9),B56*Inputs!$B$6,B56)</f>
        <v>34045.833333333336</v>
      </c>
      <c r="F56" s="6">
        <f>IF(AND($A56&gt;=Inputs!$B$8,$A56&lt;=Inputs!$B$9),C56*Inputs!$B$7,C56)</f>
        <v>19065.583333333332</v>
      </c>
      <c r="G56" s="6">
        <f>IF(AND($A56&gt;=Inputs!$B$8,$A56&lt;=Inputs!$B$9),D56*Inputs!$B$7,D56)</f>
        <v>14980.166666666666</v>
      </c>
      <c r="H56" s="6">
        <f t="shared" si="1"/>
        <v>68091.583333333343</v>
      </c>
      <c r="I56" s="6">
        <f>IF($A56&lt;Inputs!$B$8,Inputs!$B$11,IF($A56&lt;=Inputs!$B$9,Inputs!$B$12,Inputs!$B$11))</f>
        <v>70000</v>
      </c>
    </row>
    <row r="57" spans="1:9" x14ac:dyDescent="0.45">
      <c r="A57" s="3">
        <v>46380</v>
      </c>
      <c r="B57" s="6">
        <f>AVERAGEIFS(History_DAD!$C$2:$C$548,History_DAD!$B$2:$B$548,WEEKDAY($A57,1),History_DAD!$A$2:$A$548,"&gt;="&amp;(Inputs!$B$4-Inputs!$B$10),History_DAD!$A$2:$A$548,"&lt;"&amp;Inputs!$B$4)</f>
        <v>34997.666666666664</v>
      </c>
      <c r="C57" s="6">
        <f>AVERAGEIFS(History_MAT!$C$2:$C$548,History_MAT!$B$2:$B$548,WEEKDAY($A57,1),History_MAT!$A$2:$A$548,"&gt;="&amp;(Inputs!$B$4-Inputs!$B$10),History_MAT!$A$2:$A$548,"&lt;"&amp;Inputs!$B$4)</f>
        <v>19598.75</v>
      </c>
      <c r="D57" s="6">
        <f>AVERAGEIFS(History_SIO!$C$2:$C$548,History_SIO!$B$2:$B$548,WEEKDAY($A57,1),History_SIO!$A$2:$A$548,"&gt;="&amp;(Inputs!$B$4-Inputs!$B$10),History_SIO!$A$2:$A$548,"&lt;"&amp;Inputs!$B$4)</f>
        <v>15398.916666666666</v>
      </c>
      <c r="E57" s="6">
        <f>IF(AND($A57&gt;=Inputs!$B$8,$A57&lt;=Inputs!$B$9),B57*Inputs!$B$6,B57)</f>
        <v>34997.666666666664</v>
      </c>
      <c r="F57" s="6">
        <f>IF(AND($A57&gt;=Inputs!$B$8,$A57&lt;=Inputs!$B$9),C57*Inputs!$B$7,C57)</f>
        <v>19598.75</v>
      </c>
      <c r="G57" s="6">
        <f>IF(AND($A57&gt;=Inputs!$B$8,$A57&lt;=Inputs!$B$9),D57*Inputs!$B$7,D57)</f>
        <v>15398.916666666666</v>
      </c>
      <c r="H57" s="6">
        <f t="shared" si="1"/>
        <v>69995.333333333328</v>
      </c>
      <c r="I57" s="6">
        <f>IF($A57&lt;Inputs!$B$8,Inputs!$B$11,IF($A57&lt;=Inputs!$B$9,Inputs!$B$12,Inputs!$B$11))</f>
        <v>70000</v>
      </c>
    </row>
    <row r="58" spans="1:9" x14ac:dyDescent="0.45">
      <c r="A58" s="3">
        <v>46381</v>
      </c>
      <c r="B58" s="6">
        <f>AVERAGEIFS(History_DAD!$C$2:$C$548,History_DAD!$B$2:$B$548,WEEKDAY($A58,1),History_DAD!$A$2:$A$548,"&gt;="&amp;(Inputs!$B$4-Inputs!$B$10),History_DAD!$A$2:$A$548,"&lt;"&amp;Inputs!$B$4)</f>
        <v>35801.583333333336</v>
      </c>
      <c r="C58" s="6">
        <f>AVERAGEIFS(History_MAT!$C$2:$C$548,History_MAT!$B$2:$B$548,WEEKDAY($A58,1),History_MAT!$A$2:$A$548,"&gt;="&amp;(Inputs!$B$4-Inputs!$B$10),History_MAT!$A$2:$A$548,"&lt;"&amp;Inputs!$B$4)</f>
        <v>20049.083333333332</v>
      </c>
      <c r="D58" s="6">
        <f>AVERAGEIFS(History_SIO!$C$2:$C$548,History_SIO!$B$2:$B$548,WEEKDAY($A58,1),History_SIO!$A$2:$A$548,"&gt;="&amp;(Inputs!$B$4-Inputs!$B$10),History_SIO!$A$2:$A$548,"&lt;"&amp;Inputs!$B$4)</f>
        <v>15752.75</v>
      </c>
      <c r="E58" s="6">
        <f>IF(AND($A58&gt;=Inputs!$B$8,$A58&lt;=Inputs!$B$9),B58*Inputs!$B$6,B58)</f>
        <v>35801.583333333336</v>
      </c>
      <c r="F58" s="6">
        <f>IF(AND($A58&gt;=Inputs!$B$8,$A58&lt;=Inputs!$B$9),C58*Inputs!$B$7,C58)</f>
        <v>20049.083333333332</v>
      </c>
      <c r="G58" s="6">
        <f>IF(AND($A58&gt;=Inputs!$B$8,$A58&lt;=Inputs!$B$9),D58*Inputs!$B$7,D58)</f>
        <v>15752.75</v>
      </c>
      <c r="H58" s="6">
        <f t="shared" si="1"/>
        <v>71603.416666666672</v>
      </c>
      <c r="I58" s="6">
        <f>IF($A58&lt;Inputs!$B$8,Inputs!$B$11,IF($A58&lt;=Inputs!$B$9,Inputs!$B$12,Inputs!$B$11))</f>
        <v>70000</v>
      </c>
    </row>
    <row r="59" spans="1:9" x14ac:dyDescent="0.45">
      <c r="A59" s="3">
        <v>46382</v>
      </c>
      <c r="B59" s="6">
        <f>AVERAGEIFS(History_DAD!$C$2:$C$548,History_DAD!$B$2:$B$548,WEEKDAY($A59,1),History_DAD!$A$2:$A$548,"&gt;="&amp;(Inputs!$B$4-Inputs!$B$10),History_DAD!$A$2:$A$548,"&lt;"&amp;Inputs!$B$4)</f>
        <v>39113.333333333336</v>
      </c>
      <c r="C59" s="6">
        <f>AVERAGEIFS(History_MAT!$C$2:$C$548,History_MAT!$B$2:$B$548,WEEKDAY($A59,1),History_MAT!$A$2:$A$548,"&gt;="&amp;(Inputs!$B$4-Inputs!$B$10),History_MAT!$A$2:$A$548,"&lt;"&amp;Inputs!$B$4)</f>
        <v>21903.333333333332</v>
      </c>
      <c r="D59" s="6">
        <f>AVERAGEIFS(History_SIO!$C$2:$C$548,History_SIO!$B$2:$B$548,WEEKDAY($A59,1),History_SIO!$A$2:$A$548,"&gt;="&amp;(Inputs!$B$4-Inputs!$B$10),History_SIO!$A$2:$A$548,"&lt;"&amp;Inputs!$B$4)</f>
        <v>17209.916666666668</v>
      </c>
      <c r="E59" s="6">
        <f>IF(AND($A59&gt;=Inputs!$B$8,$A59&lt;=Inputs!$B$9),B59*Inputs!$B$6,B59)</f>
        <v>39113.333333333336</v>
      </c>
      <c r="F59" s="6">
        <f>IF(AND($A59&gt;=Inputs!$B$8,$A59&lt;=Inputs!$B$9),C59*Inputs!$B$7,C59)</f>
        <v>21903.333333333332</v>
      </c>
      <c r="G59" s="6">
        <f>IF(AND($A59&gt;=Inputs!$B$8,$A59&lt;=Inputs!$B$9),D59*Inputs!$B$7,D59)</f>
        <v>17209.916666666668</v>
      </c>
      <c r="H59" s="6">
        <f t="shared" si="1"/>
        <v>78226.583333333343</v>
      </c>
      <c r="I59" s="6">
        <f>IF($A59&lt;Inputs!$B$8,Inputs!$B$11,IF($A59&lt;=Inputs!$B$9,Inputs!$B$12,Inputs!$B$11))</f>
        <v>70000</v>
      </c>
    </row>
    <row r="60" spans="1:9" x14ac:dyDescent="0.45">
      <c r="A60" s="3">
        <v>46383</v>
      </c>
      <c r="B60" s="6">
        <f>AVERAGEIFS(History_DAD!$C$2:$C$548,History_DAD!$B$2:$B$548,WEEKDAY($A60,1),History_DAD!$A$2:$A$548,"&gt;="&amp;(Inputs!$B$4-Inputs!$B$10),History_DAD!$A$2:$A$548,"&lt;"&amp;Inputs!$B$4)</f>
        <v>36355.5</v>
      </c>
      <c r="C60" s="6">
        <f>AVERAGEIFS(History_MAT!$C$2:$C$548,History_MAT!$B$2:$B$548,WEEKDAY($A60,1),History_MAT!$A$2:$A$548,"&gt;="&amp;(Inputs!$B$4-Inputs!$B$10),History_MAT!$A$2:$A$548,"&lt;"&amp;Inputs!$B$4)</f>
        <v>20359.166666666668</v>
      </c>
      <c r="D60" s="6">
        <f>AVERAGEIFS(History_SIO!$C$2:$C$548,History_SIO!$B$2:$B$548,WEEKDAY($A60,1),History_SIO!$A$2:$A$548,"&gt;="&amp;(Inputs!$B$4-Inputs!$B$10),History_SIO!$A$2:$A$548,"&lt;"&amp;Inputs!$B$4)</f>
        <v>15996.333333333334</v>
      </c>
      <c r="E60" s="6">
        <f>IF(AND($A60&gt;=Inputs!$B$8,$A60&lt;=Inputs!$B$9),B60*Inputs!$B$6,B60)</f>
        <v>36355.5</v>
      </c>
      <c r="F60" s="6">
        <f>IF(AND($A60&gt;=Inputs!$B$8,$A60&lt;=Inputs!$B$9),C60*Inputs!$B$7,C60)</f>
        <v>20359.166666666668</v>
      </c>
      <c r="G60" s="6">
        <f>IF(AND($A60&gt;=Inputs!$B$8,$A60&lt;=Inputs!$B$9),D60*Inputs!$B$7,D60)</f>
        <v>15996.333333333334</v>
      </c>
      <c r="H60" s="6">
        <f t="shared" si="1"/>
        <v>72711</v>
      </c>
      <c r="I60" s="6">
        <f>IF($A60&lt;Inputs!$B$8,Inputs!$B$11,IF($A60&lt;=Inputs!$B$9,Inputs!$B$12,Inputs!$B$11))</f>
        <v>70000</v>
      </c>
    </row>
    <row r="61" spans="1:9" x14ac:dyDescent="0.45">
      <c r="A61" s="3">
        <v>46384</v>
      </c>
      <c r="B61" s="6">
        <f>AVERAGEIFS(History_DAD!$C$2:$C$548,History_DAD!$B$2:$B$548,WEEKDAY($A61,1),History_DAD!$A$2:$A$548,"&gt;="&amp;(Inputs!$B$4-Inputs!$B$10),History_DAD!$A$2:$A$548,"&lt;"&amp;Inputs!$B$4)</f>
        <v>31997.333333333332</v>
      </c>
      <c r="C61" s="6">
        <f>AVERAGEIFS(History_MAT!$C$2:$C$548,History_MAT!$B$2:$B$548,WEEKDAY($A61,1),History_MAT!$A$2:$A$548,"&gt;="&amp;(Inputs!$B$4-Inputs!$B$10),History_MAT!$A$2:$A$548,"&lt;"&amp;Inputs!$B$4)</f>
        <v>17918.5</v>
      </c>
      <c r="D61" s="6">
        <f>AVERAGEIFS(History_SIO!$C$2:$C$548,History_SIO!$B$2:$B$548,WEEKDAY($A61,1),History_SIO!$A$2:$A$548,"&gt;="&amp;(Inputs!$B$4-Inputs!$B$10),History_SIO!$A$2:$A$548,"&lt;"&amp;Inputs!$B$4)</f>
        <v>14078.833333333334</v>
      </c>
      <c r="E61" s="6">
        <f>IF(AND($A61&gt;=Inputs!$B$8,$A61&lt;=Inputs!$B$9),B61*Inputs!$B$6,B61)</f>
        <v>31997.333333333332</v>
      </c>
      <c r="F61" s="6">
        <f>IF(AND($A61&gt;=Inputs!$B$8,$A61&lt;=Inputs!$B$9),C61*Inputs!$B$7,C61)</f>
        <v>17918.5</v>
      </c>
      <c r="G61" s="6">
        <f>IF(AND($A61&gt;=Inputs!$B$8,$A61&lt;=Inputs!$B$9),D61*Inputs!$B$7,D61)</f>
        <v>14078.833333333334</v>
      </c>
      <c r="H61" s="6">
        <f t="shared" si="1"/>
        <v>63994.666666666664</v>
      </c>
      <c r="I61" s="6">
        <f>IF($A61&lt;Inputs!$B$8,Inputs!$B$11,IF($A61&lt;=Inputs!$B$9,Inputs!$B$12,Inputs!$B$11))</f>
        <v>70000</v>
      </c>
    </row>
    <row r="62" spans="1:9" x14ac:dyDescent="0.45">
      <c r="A62" s="3">
        <v>46385</v>
      </c>
      <c r="B62" s="6">
        <f>AVERAGEIFS(History_DAD!$C$2:$C$548,History_DAD!$B$2:$B$548,WEEKDAY($A62,1),History_DAD!$A$2:$A$548,"&gt;="&amp;(Inputs!$B$4-Inputs!$B$10),History_DAD!$A$2:$A$548,"&lt;"&amp;Inputs!$B$4)</f>
        <v>33193.5</v>
      </c>
      <c r="C62" s="6">
        <f>AVERAGEIFS(History_MAT!$C$2:$C$548,History_MAT!$B$2:$B$548,WEEKDAY($A62,1),History_MAT!$A$2:$A$548,"&gt;="&amp;(Inputs!$B$4-Inputs!$B$10),History_MAT!$A$2:$A$548,"&lt;"&amp;Inputs!$B$4)</f>
        <v>18588.25</v>
      </c>
      <c r="D62" s="6">
        <f>AVERAGEIFS(History_SIO!$C$2:$C$548,History_SIO!$B$2:$B$548,WEEKDAY($A62,1),History_SIO!$A$2:$A$548,"&gt;="&amp;(Inputs!$B$4-Inputs!$B$10),History_SIO!$A$2:$A$548,"&lt;"&amp;Inputs!$B$4)</f>
        <v>14605.166666666666</v>
      </c>
      <c r="E62" s="6">
        <f>IF(AND($A62&gt;=Inputs!$B$8,$A62&lt;=Inputs!$B$9),B62*Inputs!$B$6,B62)</f>
        <v>33193.5</v>
      </c>
      <c r="F62" s="6">
        <f>IF(AND($A62&gt;=Inputs!$B$8,$A62&lt;=Inputs!$B$9),C62*Inputs!$B$7,C62)</f>
        <v>18588.25</v>
      </c>
      <c r="G62" s="6">
        <f>IF(AND($A62&gt;=Inputs!$B$8,$A62&lt;=Inputs!$B$9),D62*Inputs!$B$7,D62)</f>
        <v>14605.166666666666</v>
      </c>
      <c r="H62" s="6">
        <f t="shared" si="1"/>
        <v>66386.916666666672</v>
      </c>
      <c r="I62" s="6">
        <f>IF($A62&lt;Inputs!$B$8,Inputs!$B$11,IF($A62&lt;=Inputs!$B$9,Inputs!$B$12,Inputs!$B$11))</f>
        <v>70000</v>
      </c>
    </row>
    <row r="63" spans="1:9" x14ac:dyDescent="0.45">
      <c r="A63" s="3">
        <v>46386</v>
      </c>
      <c r="B63" s="6">
        <f>AVERAGEIFS(History_DAD!$C$2:$C$548,History_DAD!$B$2:$B$548,WEEKDAY($A63,1),History_DAD!$A$2:$A$548,"&gt;="&amp;(Inputs!$B$4-Inputs!$B$10),History_DAD!$A$2:$A$548,"&lt;"&amp;Inputs!$B$4)</f>
        <v>34045.833333333336</v>
      </c>
      <c r="C63" s="6">
        <f>AVERAGEIFS(History_MAT!$C$2:$C$548,History_MAT!$B$2:$B$548,WEEKDAY($A63,1),History_MAT!$A$2:$A$548,"&gt;="&amp;(Inputs!$B$4-Inputs!$B$10),History_MAT!$A$2:$A$548,"&lt;"&amp;Inputs!$B$4)</f>
        <v>19065.583333333332</v>
      </c>
      <c r="D63" s="6">
        <f>AVERAGEIFS(History_SIO!$C$2:$C$548,History_SIO!$B$2:$B$548,WEEKDAY($A63,1),History_SIO!$A$2:$A$548,"&gt;="&amp;(Inputs!$B$4-Inputs!$B$10),History_SIO!$A$2:$A$548,"&lt;"&amp;Inputs!$B$4)</f>
        <v>14980.166666666666</v>
      </c>
      <c r="E63" s="6">
        <f>IF(AND($A63&gt;=Inputs!$B$8,$A63&lt;=Inputs!$B$9),B63*Inputs!$B$6,B63)</f>
        <v>34045.833333333336</v>
      </c>
      <c r="F63" s="6">
        <f>IF(AND($A63&gt;=Inputs!$B$8,$A63&lt;=Inputs!$B$9),C63*Inputs!$B$7,C63)</f>
        <v>19065.583333333332</v>
      </c>
      <c r="G63" s="6">
        <f>IF(AND($A63&gt;=Inputs!$B$8,$A63&lt;=Inputs!$B$9),D63*Inputs!$B$7,D63)</f>
        <v>14980.166666666666</v>
      </c>
      <c r="H63" s="6">
        <f t="shared" si="1"/>
        <v>68091.583333333343</v>
      </c>
      <c r="I63" s="6">
        <f>IF($A63&lt;Inputs!$B$8,Inputs!$B$11,IF($A63&lt;=Inputs!$B$9,Inputs!$B$12,Inputs!$B$11))</f>
        <v>70000</v>
      </c>
    </row>
    <row r="64" spans="1:9" x14ac:dyDescent="0.45">
      <c r="A64" s="3">
        <v>46387</v>
      </c>
      <c r="B64" s="6">
        <f>AVERAGEIFS(History_DAD!$C$2:$C$548,History_DAD!$B$2:$B$548,WEEKDAY($A64,1),History_DAD!$A$2:$A$548,"&gt;="&amp;(Inputs!$B$4-Inputs!$B$10),History_DAD!$A$2:$A$548,"&lt;"&amp;Inputs!$B$4)</f>
        <v>34997.666666666664</v>
      </c>
      <c r="C64" s="6">
        <f>AVERAGEIFS(History_MAT!$C$2:$C$548,History_MAT!$B$2:$B$548,WEEKDAY($A64,1),History_MAT!$A$2:$A$548,"&gt;="&amp;(Inputs!$B$4-Inputs!$B$10),History_MAT!$A$2:$A$548,"&lt;"&amp;Inputs!$B$4)</f>
        <v>19598.75</v>
      </c>
      <c r="D64" s="6">
        <f>AVERAGEIFS(History_SIO!$C$2:$C$548,History_SIO!$B$2:$B$548,WEEKDAY($A64,1),History_SIO!$A$2:$A$548,"&gt;="&amp;(Inputs!$B$4-Inputs!$B$10),History_SIO!$A$2:$A$548,"&lt;"&amp;Inputs!$B$4)</f>
        <v>15398.916666666666</v>
      </c>
      <c r="E64" s="6">
        <f>IF(AND($A64&gt;=Inputs!$B$8,$A64&lt;=Inputs!$B$9),B64*Inputs!$B$6,B64)</f>
        <v>34997.666666666664</v>
      </c>
      <c r="F64" s="6">
        <f>IF(AND($A64&gt;=Inputs!$B$8,$A64&lt;=Inputs!$B$9),C64*Inputs!$B$7,C64)</f>
        <v>19598.75</v>
      </c>
      <c r="G64" s="6">
        <f>IF(AND($A64&gt;=Inputs!$B$8,$A64&lt;=Inputs!$B$9),D64*Inputs!$B$7,D64)</f>
        <v>15398.916666666666</v>
      </c>
      <c r="H64" s="6">
        <f t="shared" si="1"/>
        <v>69995.333333333328</v>
      </c>
      <c r="I64" s="6">
        <f>IF($A64&lt;Inputs!$B$8,Inputs!$B$11,IF($A64&lt;=Inputs!$B$9,Inputs!$B$12,Inputs!$B$11))</f>
        <v>70000</v>
      </c>
    </row>
    <row r="65" spans="1:9" x14ac:dyDescent="0.45">
      <c r="A65" s="3">
        <v>46388</v>
      </c>
      <c r="B65" s="6">
        <f>AVERAGEIFS(History_DAD!$C$2:$C$548,History_DAD!$B$2:$B$548,WEEKDAY($A65,1),History_DAD!$A$2:$A$548,"&gt;="&amp;(Inputs!$B$4-Inputs!$B$10),History_DAD!$A$2:$A$548,"&lt;"&amp;Inputs!$B$4)</f>
        <v>35801.583333333336</v>
      </c>
      <c r="C65" s="6">
        <f>AVERAGEIFS(History_MAT!$C$2:$C$548,History_MAT!$B$2:$B$548,WEEKDAY($A65,1),History_MAT!$A$2:$A$548,"&gt;="&amp;(Inputs!$B$4-Inputs!$B$10),History_MAT!$A$2:$A$548,"&lt;"&amp;Inputs!$B$4)</f>
        <v>20049.083333333332</v>
      </c>
      <c r="D65" s="6">
        <f>AVERAGEIFS(History_SIO!$C$2:$C$548,History_SIO!$B$2:$B$548,WEEKDAY($A65,1),History_SIO!$A$2:$A$548,"&gt;="&amp;(Inputs!$B$4-Inputs!$B$10),History_SIO!$A$2:$A$548,"&lt;"&amp;Inputs!$B$4)</f>
        <v>15752.75</v>
      </c>
      <c r="E65" s="6">
        <f>IF(AND($A65&gt;=Inputs!$B$8,$A65&lt;=Inputs!$B$9),B65*Inputs!$B$6,B65)</f>
        <v>35801.583333333336</v>
      </c>
      <c r="F65" s="6">
        <f>IF(AND($A65&gt;=Inputs!$B$8,$A65&lt;=Inputs!$B$9),C65*Inputs!$B$7,C65)</f>
        <v>20049.083333333332</v>
      </c>
      <c r="G65" s="6">
        <f>IF(AND($A65&gt;=Inputs!$B$8,$A65&lt;=Inputs!$B$9),D65*Inputs!$B$7,D65)</f>
        <v>15752.75</v>
      </c>
      <c r="H65" s="6">
        <f t="shared" si="1"/>
        <v>71603.416666666672</v>
      </c>
      <c r="I65" s="6">
        <f>IF($A65&lt;Inputs!$B$8,Inputs!$B$11,IF($A65&lt;=Inputs!$B$9,Inputs!$B$12,Inputs!$B$11))</f>
        <v>70000</v>
      </c>
    </row>
    <row r="66" spans="1:9" x14ac:dyDescent="0.45">
      <c r="A66" s="3">
        <v>46389</v>
      </c>
      <c r="B66" s="6">
        <f>AVERAGEIFS(History_DAD!$C$2:$C$548,History_DAD!$B$2:$B$548,WEEKDAY($A66,1),History_DAD!$A$2:$A$548,"&gt;="&amp;(Inputs!$B$4-Inputs!$B$10),History_DAD!$A$2:$A$548,"&lt;"&amp;Inputs!$B$4)</f>
        <v>39113.333333333336</v>
      </c>
      <c r="C66" s="6">
        <f>AVERAGEIFS(History_MAT!$C$2:$C$548,History_MAT!$B$2:$B$548,WEEKDAY($A66,1),History_MAT!$A$2:$A$548,"&gt;="&amp;(Inputs!$B$4-Inputs!$B$10),History_MAT!$A$2:$A$548,"&lt;"&amp;Inputs!$B$4)</f>
        <v>21903.333333333332</v>
      </c>
      <c r="D66" s="6">
        <f>AVERAGEIFS(History_SIO!$C$2:$C$548,History_SIO!$B$2:$B$548,WEEKDAY($A66,1),History_SIO!$A$2:$A$548,"&gt;="&amp;(Inputs!$B$4-Inputs!$B$10),History_SIO!$A$2:$A$548,"&lt;"&amp;Inputs!$B$4)</f>
        <v>17209.916666666668</v>
      </c>
      <c r="E66" s="6">
        <f>IF(AND($A66&gt;=Inputs!$B$8,$A66&lt;=Inputs!$B$9),B66*Inputs!$B$6,B66)</f>
        <v>39113.333333333336</v>
      </c>
      <c r="F66" s="6">
        <f>IF(AND($A66&gt;=Inputs!$B$8,$A66&lt;=Inputs!$B$9),C66*Inputs!$B$7,C66)</f>
        <v>21903.333333333332</v>
      </c>
      <c r="G66" s="6">
        <f>IF(AND($A66&gt;=Inputs!$B$8,$A66&lt;=Inputs!$B$9),D66*Inputs!$B$7,D66)</f>
        <v>17209.916666666668</v>
      </c>
      <c r="H66" s="6">
        <f t="shared" ref="H66:H97" si="2">E66+F66+G66</f>
        <v>78226.583333333343</v>
      </c>
      <c r="I66" s="6">
        <f>IF($A66&lt;Inputs!$B$8,Inputs!$B$11,IF($A66&lt;=Inputs!$B$9,Inputs!$B$12,Inputs!$B$11))</f>
        <v>70000</v>
      </c>
    </row>
    <row r="67" spans="1:9" x14ac:dyDescent="0.45">
      <c r="A67" s="3">
        <v>46390</v>
      </c>
      <c r="B67" s="6">
        <f>AVERAGEIFS(History_DAD!$C$2:$C$548,History_DAD!$B$2:$B$548,WEEKDAY($A67,1),History_DAD!$A$2:$A$548,"&gt;="&amp;(Inputs!$B$4-Inputs!$B$10),History_DAD!$A$2:$A$548,"&lt;"&amp;Inputs!$B$4)</f>
        <v>36355.5</v>
      </c>
      <c r="C67" s="6">
        <f>AVERAGEIFS(History_MAT!$C$2:$C$548,History_MAT!$B$2:$B$548,WEEKDAY($A67,1),History_MAT!$A$2:$A$548,"&gt;="&amp;(Inputs!$B$4-Inputs!$B$10),History_MAT!$A$2:$A$548,"&lt;"&amp;Inputs!$B$4)</f>
        <v>20359.166666666668</v>
      </c>
      <c r="D67" s="6">
        <f>AVERAGEIFS(History_SIO!$C$2:$C$548,History_SIO!$B$2:$B$548,WEEKDAY($A67,1),History_SIO!$A$2:$A$548,"&gt;="&amp;(Inputs!$B$4-Inputs!$B$10),History_SIO!$A$2:$A$548,"&lt;"&amp;Inputs!$B$4)</f>
        <v>15996.333333333334</v>
      </c>
      <c r="E67" s="6">
        <f>IF(AND($A67&gt;=Inputs!$B$8,$A67&lt;=Inputs!$B$9),B67*Inputs!$B$6,B67)</f>
        <v>36355.5</v>
      </c>
      <c r="F67" s="6">
        <f>IF(AND($A67&gt;=Inputs!$B$8,$A67&lt;=Inputs!$B$9),C67*Inputs!$B$7,C67)</f>
        <v>20359.166666666668</v>
      </c>
      <c r="G67" s="6">
        <f>IF(AND($A67&gt;=Inputs!$B$8,$A67&lt;=Inputs!$B$9),D67*Inputs!$B$7,D67)</f>
        <v>15996.333333333334</v>
      </c>
      <c r="H67" s="6">
        <f t="shared" si="2"/>
        <v>72711</v>
      </c>
      <c r="I67" s="6">
        <f>IF($A67&lt;Inputs!$B$8,Inputs!$B$11,IF($A67&lt;=Inputs!$B$9,Inputs!$B$12,Inputs!$B$11))</f>
        <v>70000</v>
      </c>
    </row>
    <row r="68" spans="1:9" x14ac:dyDescent="0.45">
      <c r="A68" s="3">
        <v>46391</v>
      </c>
      <c r="B68" s="6">
        <f>AVERAGEIFS(History_DAD!$C$2:$C$548,History_DAD!$B$2:$B$548,WEEKDAY($A68,1),History_DAD!$A$2:$A$548,"&gt;="&amp;(Inputs!$B$4-Inputs!$B$10),History_DAD!$A$2:$A$548,"&lt;"&amp;Inputs!$B$4)</f>
        <v>31997.333333333332</v>
      </c>
      <c r="C68" s="6">
        <f>AVERAGEIFS(History_MAT!$C$2:$C$548,History_MAT!$B$2:$B$548,WEEKDAY($A68,1),History_MAT!$A$2:$A$548,"&gt;="&amp;(Inputs!$B$4-Inputs!$B$10),History_MAT!$A$2:$A$548,"&lt;"&amp;Inputs!$B$4)</f>
        <v>17918.5</v>
      </c>
      <c r="D68" s="6">
        <f>AVERAGEIFS(History_SIO!$C$2:$C$548,History_SIO!$B$2:$B$548,WEEKDAY($A68,1),History_SIO!$A$2:$A$548,"&gt;="&amp;(Inputs!$B$4-Inputs!$B$10),History_SIO!$A$2:$A$548,"&lt;"&amp;Inputs!$B$4)</f>
        <v>14078.833333333334</v>
      </c>
      <c r="E68" s="6">
        <f>IF(AND($A68&gt;=Inputs!$B$8,$A68&lt;=Inputs!$B$9),B68*Inputs!$B$6,B68)</f>
        <v>31997.333333333332</v>
      </c>
      <c r="F68" s="6">
        <f>IF(AND($A68&gt;=Inputs!$B$8,$A68&lt;=Inputs!$B$9),C68*Inputs!$B$7,C68)</f>
        <v>17918.5</v>
      </c>
      <c r="G68" s="6">
        <f>IF(AND($A68&gt;=Inputs!$B$8,$A68&lt;=Inputs!$B$9),D68*Inputs!$B$7,D68)</f>
        <v>14078.833333333334</v>
      </c>
      <c r="H68" s="6">
        <f t="shared" si="2"/>
        <v>63994.666666666664</v>
      </c>
      <c r="I68" s="6">
        <f>IF($A68&lt;Inputs!$B$8,Inputs!$B$11,IF($A68&lt;=Inputs!$B$9,Inputs!$B$12,Inputs!$B$11))</f>
        <v>70000</v>
      </c>
    </row>
    <row r="69" spans="1:9" x14ac:dyDescent="0.45">
      <c r="A69" s="3">
        <v>46392</v>
      </c>
      <c r="B69" s="6">
        <f>AVERAGEIFS(History_DAD!$C$2:$C$548,History_DAD!$B$2:$B$548,WEEKDAY($A69,1),History_DAD!$A$2:$A$548,"&gt;="&amp;(Inputs!$B$4-Inputs!$B$10),History_DAD!$A$2:$A$548,"&lt;"&amp;Inputs!$B$4)</f>
        <v>33193.5</v>
      </c>
      <c r="C69" s="6">
        <f>AVERAGEIFS(History_MAT!$C$2:$C$548,History_MAT!$B$2:$B$548,WEEKDAY($A69,1),History_MAT!$A$2:$A$548,"&gt;="&amp;(Inputs!$B$4-Inputs!$B$10),History_MAT!$A$2:$A$548,"&lt;"&amp;Inputs!$B$4)</f>
        <v>18588.25</v>
      </c>
      <c r="D69" s="6">
        <f>AVERAGEIFS(History_SIO!$C$2:$C$548,History_SIO!$B$2:$B$548,WEEKDAY($A69,1),History_SIO!$A$2:$A$548,"&gt;="&amp;(Inputs!$B$4-Inputs!$B$10),History_SIO!$A$2:$A$548,"&lt;"&amp;Inputs!$B$4)</f>
        <v>14605.166666666666</v>
      </c>
      <c r="E69" s="6">
        <f>IF(AND($A69&gt;=Inputs!$B$8,$A69&lt;=Inputs!$B$9),B69*Inputs!$B$6,B69)</f>
        <v>33193.5</v>
      </c>
      <c r="F69" s="6">
        <f>IF(AND($A69&gt;=Inputs!$B$8,$A69&lt;=Inputs!$B$9),C69*Inputs!$B$7,C69)</f>
        <v>18588.25</v>
      </c>
      <c r="G69" s="6">
        <f>IF(AND($A69&gt;=Inputs!$B$8,$A69&lt;=Inputs!$B$9),D69*Inputs!$B$7,D69)</f>
        <v>14605.166666666666</v>
      </c>
      <c r="H69" s="6">
        <f t="shared" si="2"/>
        <v>66386.916666666672</v>
      </c>
      <c r="I69" s="6">
        <f>IF($A69&lt;Inputs!$B$8,Inputs!$B$11,IF($A69&lt;=Inputs!$B$9,Inputs!$B$12,Inputs!$B$11))</f>
        <v>70000</v>
      </c>
    </row>
    <row r="70" spans="1:9" x14ac:dyDescent="0.45">
      <c r="A70" s="3">
        <v>46393</v>
      </c>
      <c r="B70" s="6">
        <f>AVERAGEIFS(History_DAD!$C$2:$C$548,History_DAD!$B$2:$B$548,WEEKDAY($A70,1),History_DAD!$A$2:$A$548,"&gt;="&amp;(Inputs!$B$4-Inputs!$B$10),History_DAD!$A$2:$A$548,"&lt;"&amp;Inputs!$B$4)</f>
        <v>34045.833333333336</v>
      </c>
      <c r="C70" s="6">
        <f>AVERAGEIFS(History_MAT!$C$2:$C$548,History_MAT!$B$2:$B$548,WEEKDAY($A70,1),History_MAT!$A$2:$A$548,"&gt;="&amp;(Inputs!$B$4-Inputs!$B$10),History_MAT!$A$2:$A$548,"&lt;"&amp;Inputs!$B$4)</f>
        <v>19065.583333333332</v>
      </c>
      <c r="D70" s="6">
        <f>AVERAGEIFS(History_SIO!$C$2:$C$548,History_SIO!$B$2:$B$548,WEEKDAY($A70,1),History_SIO!$A$2:$A$548,"&gt;="&amp;(Inputs!$B$4-Inputs!$B$10),History_SIO!$A$2:$A$548,"&lt;"&amp;Inputs!$B$4)</f>
        <v>14980.166666666666</v>
      </c>
      <c r="E70" s="6">
        <f>IF(AND($A70&gt;=Inputs!$B$8,$A70&lt;=Inputs!$B$9),B70*Inputs!$B$6,B70)</f>
        <v>34045.833333333336</v>
      </c>
      <c r="F70" s="6">
        <f>IF(AND($A70&gt;=Inputs!$B$8,$A70&lt;=Inputs!$B$9),C70*Inputs!$B$7,C70)</f>
        <v>19065.583333333332</v>
      </c>
      <c r="G70" s="6">
        <f>IF(AND($A70&gt;=Inputs!$B$8,$A70&lt;=Inputs!$B$9),D70*Inputs!$B$7,D70)</f>
        <v>14980.166666666666</v>
      </c>
      <c r="H70" s="6">
        <f t="shared" si="2"/>
        <v>68091.583333333343</v>
      </c>
      <c r="I70" s="6">
        <f>IF($A70&lt;Inputs!$B$8,Inputs!$B$11,IF($A70&lt;=Inputs!$B$9,Inputs!$B$12,Inputs!$B$11))</f>
        <v>70000</v>
      </c>
    </row>
    <row r="71" spans="1:9" x14ac:dyDescent="0.45">
      <c r="A71" s="3">
        <v>46394</v>
      </c>
      <c r="B71" s="6">
        <f>AVERAGEIFS(History_DAD!$C$2:$C$548,History_DAD!$B$2:$B$548,WEEKDAY($A71,1),History_DAD!$A$2:$A$548,"&gt;="&amp;(Inputs!$B$4-Inputs!$B$10),History_DAD!$A$2:$A$548,"&lt;"&amp;Inputs!$B$4)</f>
        <v>34997.666666666664</v>
      </c>
      <c r="C71" s="6">
        <f>AVERAGEIFS(History_MAT!$C$2:$C$548,History_MAT!$B$2:$B$548,WEEKDAY($A71,1),History_MAT!$A$2:$A$548,"&gt;="&amp;(Inputs!$B$4-Inputs!$B$10),History_MAT!$A$2:$A$548,"&lt;"&amp;Inputs!$B$4)</f>
        <v>19598.75</v>
      </c>
      <c r="D71" s="6">
        <f>AVERAGEIFS(History_SIO!$C$2:$C$548,History_SIO!$B$2:$B$548,WEEKDAY($A71,1),History_SIO!$A$2:$A$548,"&gt;="&amp;(Inputs!$B$4-Inputs!$B$10),History_SIO!$A$2:$A$548,"&lt;"&amp;Inputs!$B$4)</f>
        <v>15398.916666666666</v>
      </c>
      <c r="E71" s="6">
        <f>IF(AND($A71&gt;=Inputs!$B$8,$A71&lt;=Inputs!$B$9),B71*Inputs!$B$6,B71)</f>
        <v>34997.666666666664</v>
      </c>
      <c r="F71" s="6">
        <f>IF(AND($A71&gt;=Inputs!$B$8,$A71&lt;=Inputs!$B$9),C71*Inputs!$B$7,C71)</f>
        <v>19598.75</v>
      </c>
      <c r="G71" s="6">
        <f>IF(AND($A71&gt;=Inputs!$B$8,$A71&lt;=Inputs!$B$9),D71*Inputs!$B$7,D71)</f>
        <v>15398.916666666666</v>
      </c>
      <c r="H71" s="6">
        <f t="shared" si="2"/>
        <v>69995.333333333328</v>
      </c>
      <c r="I71" s="6">
        <f>IF($A71&lt;Inputs!$B$8,Inputs!$B$11,IF($A71&lt;=Inputs!$B$9,Inputs!$B$12,Inputs!$B$11))</f>
        <v>70000</v>
      </c>
    </row>
    <row r="72" spans="1:9" x14ac:dyDescent="0.45">
      <c r="A72" s="3">
        <v>46395</v>
      </c>
      <c r="B72" s="6">
        <f>AVERAGEIFS(History_DAD!$C$2:$C$548,History_DAD!$B$2:$B$548,WEEKDAY($A72,1),History_DAD!$A$2:$A$548,"&gt;="&amp;(Inputs!$B$4-Inputs!$B$10),History_DAD!$A$2:$A$548,"&lt;"&amp;Inputs!$B$4)</f>
        <v>35801.583333333336</v>
      </c>
      <c r="C72" s="6">
        <f>AVERAGEIFS(History_MAT!$C$2:$C$548,History_MAT!$B$2:$B$548,WEEKDAY($A72,1),History_MAT!$A$2:$A$548,"&gt;="&amp;(Inputs!$B$4-Inputs!$B$10),History_MAT!$A$2:$A$548,"&lt;"&amp;Inputs!$B$4)</f>
        <v>20049.083333333332</v>
      </c>
      <c r="D72" s="6">
        <f>AVERAGEIFS(History_SIO!$C$2:$C$548,History_SIO!$B$2:$B$548,WEEKDAY($A72,1),History_SIO!$A$2:$A$548,"&gt;="&amp;(Inputs!$B$4-Inputs!$B$10),History_SIO!$A$2:$A$548,"&lt;"&amp;Inputs!$B$4)</f>
        <v>15752.75</v>
      </c>
      <c r="E72" s="6">
        <f>IF(AND($A72&gt;=Inputs!$B$8,$A72&lt;=Inputs!$B$9),B72*Inputs!$B$6,B72)</f>
        <v>35801.583333333336</v>
      </c>
      <c r="F72" s="6">
        <f>IF(AND($A72&gt;=Inputs!$B$8,$A72&lt;=Inputs!$B$9),C72*Inputs!$B$7,C72)</f>
        <v>20049.083333333332</v>
      </c>
      <c r="G72" s="6">
        <f>IF(AND($A72&gt;=Inputs!$B$8,$A72&lt;=Inputs!$B$9),D72*Inputs!$B$7,D72)</f>
        <v>15752.75</v>
      </c>
      <c r="H72" s="6">
        <f t="shared" si="2"/>
        <v>71603.416666666672</v>
      </c>
      <c r="I72" s="6">
        <f>IF($A72&lt;Inputs!$B$8,Inputs!$B$11,IF($A72&lt;=Inputs!$B$9,Inputs!$B$12,Inputs!$B$11))</f>
        <v>70000</v>
      </c>
    </row>
    <row r="73" spans="1:9" x14ac:dyDescent="0.45">
      <c r="A73" s="3">
        <v>46396</v>
      </c>
      <c r="B73" s="6">
        <f>AVERAGEIFS(History_DAD!$C$2:$C$548,History_DAD!$B$2:$B$548,WEEKDAY($A73,1),History_DAD!$A$2:$A$548,"&gt;="&amp;(Inputs!$B$4-Inputs!$B$10),History_DAD!$A$2:$A$548,"&lt;"&amp;Inputs!$B$4)</f>
        <v>39113.333333333336</v>
      </c>
      <c r="C73" s="6">
        <f>AVERAGEIFS(History_MAT!$C$2:$C$548,History_MAT!$B$2:$B$548,WEEKDAY($A73,1),History_MAT!$A$2:$A$548,"&gt;="&amp;(Inputs!$B$4-Inputs!$B$10),History_MAT!$A$2:$A$548,"&lt;"&amp;Inputs!$B$4)</f>
        <v>21903.333333333332</v>
      </c>
      <c r="D73" s="6">
        <f>AVERAGEIFS(History_SIO!$C$2:$C$548,History_SIO!$B$2:$B$548,WEEKDAY($A73,1),History_SIO!$A$2:$A$548,"&gt;="&amp;(Inputs!$B$4-Inputs!$B$10),History_SIO!$A$2:$A$548,"&lt;"&amp;Inputs!$B$4)</f>
        <v>17209.916666666668</v>
      </c>
      <c r="E73" s="6">
        <f>IF(AND($A73&gt;=Inputs!$B$8,$A73&lt;=Inputs!$B$9),B73*Inputs!$B$6,B73)</f>
        <v>39113.333333333336</v>
      </c>
      <c r="F73" s="6">
        <f>IF(AND($A73&gt;=Inputs!$B$8,$A73&lt;=Inputs!$B$9),C73*Inputs!$B$7,C73)</f>
        <v>21903.333333333332</v>
      </c>
      <c r="G73" s="6">
        <f>IF(AND($A73&gt;=Inputs!$B$8,$A73&lt;=Inputs!$B$9),D73*Inputs!$B$7,D73)</f>
        <v>17209.916666666668</v>
      </c>
      <c r="H73" s="6">
        <f t="shared" si="2"/>
        <v>78226.583333333343</v>
      </c>
      <c r="I73" s="6">
        <f>IF($A73&lt;Inputs!$B$8,Inputs!$B$11,IF($A73&lt;=Inputs!$B$9,Inputs!$B$12,Inputs!$B$11))</f>
        <v>70000</v>
      </c>
    </row>
    <row r="74" spans="1:9" x14ac:dyDescent="0.45">
      <c r="A74" s="3">
        <v>46397</v>
      </c>
      <c r="B74" s="6">
        <f>AVERAGEIFS(History_DAD!$C$2:$C$548,History_DAD!$B$2:$B$548,WEEKDAY($A74,1),History_DAD!$A$2:$A$548,"&gt;="&amp;(Inputs!$B$4-Inputs!$B$10),History_DAD!$A$2:$A$548,"&lt;"&amp;Inputs!$B$4)</f>
        <v>36355.5</v>
      </c>
      <c r="C74" s="6">
        <f>AVERAGEIFS(History_MAT!$C$2:$C$548,History_MAT!$B$2:$B$548,WEEKDAY($A74,1),History_MAT!$A$2:$A$548,"&gt;="&amp;(Inputs!$B$4-Inputs!$B$10),History_MAT!$A$2:$A$548,"&lt;"&amp;Inputs!$B$4)</f>
        <v>20359.166666666668</v>
      </c>
      <c r="D74" s="6">
        <f>AVERAGEIFS(History_SIO!$C$2:$C$548,History_SIO!$B$2:$B$548,WEEKDAY($A74,1),History_SIO!$A$2:$A$548,"&gt;="&amp;(Inputs!$B$4-Inputs!$B$10),History_SIO!$A$2:$A$548,"&lt;"&amp;Inputs!$B$4)</f>
        <v>15996.333333333334</v>
      </c>
      <c r="E74" s="6">
        <f>IF(AND($A74&gt;=Inputs!$B$8,$A74&lt;=Inputs!$B$9),B74*Inputs!$B$6,B74)</f>
        <v>36355.5</v>
      </c>
      <c r="F74" s="6">
        <f>IF(AND($A74&gt;=Inputs!$B$8,$A74&lt;=Inputs!$B$9),C74*Inputs!$B$7,C74)</f>
        <v>20359.166666666668</v>
      </c>
      <c r="G74" s="6">
        <f>IF(AND($A74&gt;=Inputs!$B$8,$A74&lt;=Inputs!$B$9),D74*Inputs!$B$7,D74)</f>
        <v>15996.333333333334</v>
      </c>
      <c r="H74" s="6">
        <f t="shared" si="2"/>
        <v>72711</v>
      </c>
      <c r="I74" s="6">
        <f>IF($A74&lt;Inputs!$B$8,Inputs!$B$11,IF($A74&lt;=Inputs!$B$9,Inputs!$B$12,Inputs!$B$11))</f>
        <v>70000</v>
      </c>
    </row>
    <row r="75" spans="1:9" x14ac:dyDescent="0.45">
      <c r="A75" s="3">
        <v>46398</v>
      </c>
      <c r="B75" s="6">
        <f>AVERAGEIFS(History_DAD!$C$2:$C$548,History_DAD!$B$2:$B$548,WEEKDAY($A75,1),History_DAD!$A$2:$A$548,"&gt;="&amp;(Inputs!$B$4-Inputs!$B$10),History_DAD!$A$2:$A$548,"&lt;"&amp;Inputs!$B$4)</f>
        <v>31997.333333333332</v>
      </c>
      <c r="C75" s="6">
        <f>AVERAGEIFS(History_MAT!$C$2:$C$548,History_MAT!$B$2:$B$548,WEEKDAY($A75,1),History_MAT!$A$2:$A$548,"&gt;="&amp;(Inputs!$B$4-Inputs!$B$10),History_MAT!$A$2:$A$548,"&lt;"&amp;Inputs!$B$4)</f>
        <v>17918.5</v>
      </c>
      <c r="D75" s="6">
        <f>AVERAGEIFS(History_SIO!$C$2:$C$548,History_SIO!$B$2:$B$548,WEEKDAY($A75,1),History_SIO!$A$2:$A$548,"&gt;="&amp;(Inputs!$B$4-Inputs!$B$10),History_SIO!$A$2:$A$548,"&lt;"&amp;Inputs!$B$4)</f>
        <v>14078.833333333334</v>
      </c>
      <c r="E75" s="6">
        <f>IF(AND($A75&gt;=Inputs!$B$8,$A75&lt;=Inputs!$B$9),B75*Inputs!$B$6,B75)</f>
        <v>31997.333333333332</v>
      </c>
      <c r="F75" s="6">
        <f>IF(AND($A75&gt;=Inputs!$B$8,$A75&lt;=Inputs!$B$9),C75*Inputs!$B$7,C75)</f>
        <v>17918.5</v>
      </c>
      <c r="G75" s="6">
        <f>IF(AND($A75&gt;=Inputs!$B$8,$A75&lt;=Inputs!$B$9),D75*Inputs!$B$7,D75)</f>
        <v>14078.833333333334</v>
      </c>
      <c r="H75" s="6">
        <f t="shared" si="2"/>
        <v>63994.666666666664</v>
      </c>
      <c r="I75" s="6">
        <f>IF($A75&lt;Inputs!$B$8,Inputs!$B$11,IF($A75&lt;=Inputs!$B$9,Inputs!$B$12,Inputs!$B$11))</f>
        <v>70000</v>
      </c>
    </row>
    <row r="76" spans="1:9" x14ac:dyDescent="0.45">
      <c r="A76" s="3">
        <v>46399</v>
      </c>
      <c r="B76" s="6">
        <f>AVERAGEIFS(History_DAD!$C$2:$C$548,History_DAD!$B$2:$B$548,WEEKDAY($A76,1),History_DAD!$A$2:$A$548,"&gt;="&amp;(Inputs!$B$4-Inputs!$B$10),History_DAD!$A$2:$A$548,"&lt;"&amp;Inputs!$B$4)</f>
        <v>33193.5</v>
      </c>
      <c r="C76" s="6">
        <f>AVERAGEIFS(History_MAT!$C$2:$C$548,History_MAT!$B$2:$B$548,WEEKDAY($A76,1),History_MAT!$A$2:$A$548,"&gt;="&amp;(Inputs!$B$4-Inputs!$B$10),History_MAT!$A$2:$A$548,"&lt;"&amp;Inputs!$B$4)</f>
        <v>18588.25</v>
      </c>
      <c r="D76" s="6">
        <f>AVERAGEIFS(History_SIO!$C$2:$C$548,History_SIO!$B$2:$B$548,WEEKDAY($A76,1),History_SIO!$A$2:$A$548,"&gt;="&amp;(Inputs!$B$4-Inputs!$B$10),History_SIO!$A$2:$A$548,"&lt;"&amp;Inputs!$B$4)</f>
        <v>14605.166666666666</v>
      </c>
      <c r="E76" s="6">
        <f>IF(AND($A76&gt;=Inputs!$B$8,$A76&lt;=Inputs!$B$9),B76*Inputs!$B$6,B76)</f>
        <v>33193.5</v>
      </c>
      <c r="F76" s="6">
        <f>IF(AND($A76&gt;=Inputs!$B$8,$A76&lt;=Inputs!$B$9),C76*Inputs!$B$7,C76)</f>
        <v>18588.25</v>
      </c>
      <c r="G76" s="6">
        <f>IF(AND($A76&gt;=Inputs!$B$8,$A76&lt;=Inputs!$B$9),D76*Inputs!$B$7,D76)</f>
        <v>14605.166666666666</v>
      </c>
      <c r="H76" s="6">
        <f t="shared" si="2"/>
        <v>66386.916666666672</v>
      </c>
      <c r="I76" s="6">
        <f>IF($A76&lt;Inputs!$B$8,Inputs!$B$11,IF($A76&lt;=Inputs!$B$9,Inputs!$B$12,Inputs!$B$11))</f>
        <v>70000</v>
      </c>
    </row>
    <row r="77" spans="1:9" x14ac:dyDescent="0.45">
      <c r="A77" s="3">
        <v>46400</v>
      </c>
      <c r="B77" s="6">
        <f>AVERAGEIFS(History_DAD!$C$2:$C$548,History_DAD!$B$2:$B$548,WEEKDAY($A77,1),History_DAD!$A$2:$A$548,"&gt;="&amp;(Inputs!$B$4-Inputs!$B$10),History_DAD!$A$2:$A$548,"&lt;"&amp;Inputs!$B$4)</f>
        <v>34045.833333333336</v>
      </c>
      <c r="C77" s="6">
        <f>AVERAGEIFS(History_MAT!$C$2:$C$548,History_MAT!$B$2:$B$548,WEEKDAY($A77,1),History_MAT!$A$2:$A$548,"&gt;="&amp;(Inputs!$B$4-Inputs!$B$10),History_MAT!$A$2:$A$548,"&lt;"&amp;Inputs!$B$4)</f>
        <v>19065.583333333332</v>
      </c>
      <c r="D77" s="6">
        <f>AVERAGEIFS(History_SIO!$C$2:$C$548,History_SIO!$B$2:$B$548,WEEKDAY($A77,1),History_SIO!$A$2:$A$548,"&gt;="&amp;(Inputs!$B$4-Inputs!$B$10),History_SIO!$A$2:$A$548,"&lt;"&amp;Inputs!$B$4)</f>
        <v>14980.166666666666</v>
      </c>
      <c r="E77" s="6">
        <f>IF(AND($A77&gt;=Inputs!$B$8,$A77&lt;=Inputs!$B$9),B77*Inputs!$B$6,B77)</f>
        <v>34045.833333333336</v>
      </c>
      <c r="F77" s="6">
        <f>IF(AND($A77&gt;=Inputs!$B$8,$A77&lt;=Inputs!$B$9),C77*Inputs!$B$7,C77)</f>
        <v>19065.583333333332</v>
      </c>
      <c r="G77" s="6">
        <f>IF(AND($A77&gt;=Inputs!$B$8,$A77&lt;=Inputs!$B$9),D77*Inputs!$B$7,D77)</f>
        <v>14980.166666666666</v>
      </c>
      <c r="H77" s="6">
        <f t="shared" si="2"/>
        <v>68091.583333333343</v>
      </c>
      <c r="I77" s="6">
        <f>IF($A77&lt;Inputs!$B$8,Inputs!$B$11,IF($A77&lt;=Inputs!$B$9,Inputs!$B$12,Inputs!$B$11))</f>
        <v>70000</v>
      </c>
    </row>
    <row r="78" spans="1:9" x14ac:dyDescent="0.45">
      <c r="A78" s="3">
        <v>46401</v>
      </c>
      <c r="B78" s="6">
        <f>AVERAGEIFS(History_DAD!$C$2:$C$548,History_DAD!$B$2:$B$548,WEEKDAY($A78,1),History_DAD!$A$2:$A$548,"&gt;="&amp;(Inputs!$B$4-Inputs!$B$10),History_DAD!$A$2:$A$548,"&lt;"&amp;Inputs!$B$4)</f>
        <v>34997.666666666664</v>
      </c>
      <c r="C78" s="6">
        <f>AVERAGEIFS(History_MAT!$C$2:$C$548,History_MAT!$B$2:$B$548,WEEKDAY($A78,1),History_MAT!$A$2:$A$548,"&gt;="&amp;(Inputs!$B$4-Inputs!$B$10),History_MAT!$A$2:$A$548,"&lt;"&amp;Inputs!$B$4)</f>
        <v>19598.75</v>
      </c>
      <c r="D78" s="6">
        <f>AVERAGEIFS(History_SIO!$C$2:$C$548,History_SIO!$B$2:$B$548,WEEKDAY($A78,1),History_SIO!$A$2:$A$548,"&gt;="&amp;(Inputs!$B$4-Inputs!$B$10),History_SIO!$A$2:$A$548,"&lt;"&amp;Inputs!$B$4)</f>
        <v>15398.916666666666</v>
      </c>
      <c r="E78" s="6">
        <f>IF(AND($A78&gt;=Inputs!$B$8,$A78&lt;=Inputs!$B$9),B78*Inputs!$B$6,B78)</f>
        <v>34997.666666666664</v>
      </c>
      <c r="F78" s="6">
        <f>IF(AND($A78&gt;=Inputs!$B$8,$A78&lt;=Inputs!$B$9),C78*Inputs!$B$7,C78)</f>
        <v>19598.75</v>
      </c>
      <c r="G78" s="6">
        <f>IF(AND($A78&gt;=Inputs!$B$8,$A78&lt;=Inputs!$B$9),D78*Inputs!$B$7,D78)</f>
        <v>15398.916666666666</v>
      </c>
      <c r="H78" s="6">
        <f t="shared" si="2"/>
        <v>69995.333333333328</v>
      </c>
      <c r="I78" s="6">
        <f>IF($A78&lt;Inputs!$B$8,Inputs!$B$11,IF($A78&lt;=Inputs!$B$9,Inputs!$B$12,Inputs!$B$11))</f>
        <v>70000</v>
      </c>
    </row>
    <row r="79" spans="1:9" x14ac:dyDescent="0.45">
      <c r="A79" s="3">
        <v>46402</v>
      </c>
      <c r="B79" s="6">
        <f>AVERAGEIFS(History_DAD!$C$2:$C$548,History_DAD!$B$2:$B$548,WEEKDAY($A79,1),History_DAD!$A$2:$A$548,"&gt;="&amp;(Inputs!$B$4-Inputs!$B$10),History_DAD!$A$2:$A$548,"&lt;"&amp;Inputs!$B$4)</f>
        <v>35801.583333333336</v>
      </c>
      <c r="C79" s="6">
        <f>AVERAGEIFS(History_MAT!$C$2:$C$548,History_MAT!$B$2:$B$548,WEEKDAY($A79,1),History_MAT!$A$2:$A$548,"&gt;="&amp;(Inputs!$B$4-Inputs!$B$10),History_MAT!$A$2:$A$548,"&lt;"&amp;Inputs!$B$4)</f>
        <v>20049.083333333332</v>
      </c>
      <c r="D79" s="6">
        <f>AVERAGEIFS(History_SIO!$C$2:$C$548,History_SIO!$B$2:$B$548,WEEKDAY($A79,1),History_SIO!$A$2:$A$548,"&gt;="&amp;(Inputs!$B$4-Inputs!$B$10),History_SIO!$A$2:$A$548,"&lt;"&amp;Inputs!$B$4)</f>
        <v>15752.75</v>
      </c>
      <c r="E79" s="6">
        <f>IF(AND($A79&gt;=Inputs!$B$8,$A79&lt;=Inputs!$B$9),B79*Inputs!$B$6,B79)</f>
        <v>35801.583333333336</v>
      </c>
      <c r="F79" s="6">
        <f>IF(AND($A79&gt;=Inputs!$B$8,$A79&lt;=Inputs!$B$9),C79*Inputs!$B$7,C79)</f>
        <v>20049.083333333332</v>
      </c>
      <c r="G79" s="6">
        <f>IF(AND($A79&gt;=Inputs!$B$8,$A79&lt;=Inputs!$B$9),D79*Inputs!$B$7,D79)</f>
        <v>15752.75</v>
      </c>
      <c r="H79" s="6">
        <f t="shared" si="2"/>
        <v>71603.416666666672</v>
      </c>
      <c r="I79" s="6">
        <f>IF($A79&lt;Inputs!$B$8,Inputs!$B$11,IF($A79&lt;=Inputs!$B$9,Inputs!$B$12,Inputs!$B$11))</f>
        <v>70000</v>
      </c>
    </row>
    <row r="80" spans="1:9" x14ac:dyDescent="0.45">
      <c r="A80" s="3">
        <v>46403</v>
      </c>
      <c r="B80" s="6">
        <f>AVERAGEIFS(History_DAD!$C$2:$C$548,History_DAD!$B$2:$B$548,WEEKDAY($A80,1),History_DAD!$A$2:$A$548,"&gt;="&amp;(Inputs!$B$4-Inputs!$B$10),History_DAD!$A$2:$A$548,"&lt;"&amp;Inputs!$B$4)</f>
        <v>39113.333333333336</v>
      </c>
      <c r="C80" s="6">
        <f>AVERAGEIFS(History_MAT!$C$2:$C$548,History_MAT!$B$2:$B$548,WEEKDAY($A80,1),History_MAT!$A$2:$A$548,"&gt;="&amp;(Inputs!$B$4-Inputs!$B$10),History_MAT!$A$2:$A$548,"&lt;"&amp;Inputs!$B$4)</f>
        <v>21903.333333333332</v>
      </c>
      <c r="D80" s="6">
        <f>AVERAGEIFS(History_SIO!$C$2:$C$548,History_SIO!$B$2:$B$548,WEEKDAY($A80,1),History_SIO!$A$2:$A$548,"&gt;="&amp;(Inputs!$B$4-Inputs!$B$10),History_SIO!$A$2:$A$548,"&lt;"&amp;Inputs!$B$4)</f>
        <v>17209.916666666668</v>
      </c>
      <c r="E80" s="6">
        <f>IF(AND($A80&gt;=Inputs!$B$8,$A80&lt;=Inputs!$B$9),B80*Inputs!$B$6,B80)</f>
        <v>39113.333333333336</v>
      </c>
      <c r="F80" s="6">
        <f>IF(AND($A80&gt;=Inputs!$B$8,$A80&lt;=Inputs!$B$9),C80*Inputs!$B$7,C80)</f>
        <v>21903.333333333332</v>
      </c>
      <c r="G80" s="6">
        <f>IF(AND($A80&gt;=Inputs!$B$8,$A80&lt;=Inputs!$B$9),D80*Inputs!$B$7,D80)</f>
        <v>17209.916666666668</v>
      </c>
      <c r="H80" s="6">
        <f t="shared" si="2"/>
        <v>78226.583333333343</v>
      </c>
      <c r="I80" s="6">
        <f>IF($A80&lt;Inputs!$B$8,Inputs!$B$11,IF($A80&lt;=Inputs!$B$9,Inputs!$B$12,Inputs!$B$11))</f>
        <v>70000</v>
      </c>
    </row>
    <row r="81" spans="1:9" x14ac:dyDescent="0.45">
      <c r="A81" s="3">
        <v>46404</v>
      </c>
      <c r="B81" s="6">
        <f>AVERAGEIFS(History_DAD!$C$2:$C$548,History_DAD!$B$2:$B$548,WEEKDAY($A81,1),History_DAD!$A$2:$A$548,"&gt;="&amp;(Inputs!$B$4-Inputs!$B$10),History_DAD!$A$2:$A$548,"&lt;"&amp;Inputs!$B$4)</f>
        <v>36355.5</v>
      </c>
      <c r="C81" s="6">
        <f>AVERAGEIFS(History_MAT!$C$2:$C$548,History_MAT!$B$2:$B$548,WEEKDAY($A81,1),History_MAT!$A$2:$A$548,"&gt;="&amp;(Inputs!$B$4-Inputs!$B$10),History_MAT!$A$2:$A$548,"&lt;"&amp;Inputs!$B$4)</f>
        <v>20359.166666666668</v>
      </c>
      <c r="D81" s="6">
        <f>AVERAGEIFS(History_SIO!$C$2:$C$548,History_SIO!$B$2:$B$548,WEEKDAY($A81,1),History_SIO!$A$2:$A$548,"&gt;="&amp;(Inputs!$B$4-Inputs!$B$10),History_SIO!$A$2:$A$548,"&lt;"&amp;Inputs!$B$4)</f>
        <v>15996.333333333334</v>
      </c>
      <c r="E81" s="6">
        <f>IF(AND($A81&gt;=Inputs!$B$8,$A81&lt;=Inputs!$B$9),B81*Inputs!$B$6,B81)</f>
        <v>36355.5</v>
      </c>
      <c r="F81" s="6">
        <f>IF(AND($A81&gt;=Inputs!$B$8,$A81&lt;=Inputs!$B$9),C81*Inputs!$B$7,C81)</f>
        <v>20359.166666666668</v>
      </c>
      <c r="G81" s="6">
        <f>IF(AND($A81&gt;=Inputs!$B$8,$A81&lt;=Inputs!$B$9),D81*Inputs!$B$7,D81)</f>
        <v>15996.333333333334</v>
      </c>
      <c r="H81" s="6">
        <f t="shared" si="2"/>
        <v>72711</v>
      </c>
      <c r="I81" s="6">
        <f>IF($A81&lt;Inputs!$B$8,Inputs!$B$11,IF($A81&lt;=Inputs!$B$9,Inputs!$B$12,Inputs!$B$11))</f>
        <v>70000</v>
      </c>
    </row>
    <row r="82" spans="1:9" x14ac:dyDescent="0.45">
      <c r="A82" s="3">
        <v>46405</v>
      </c>
      <c r="B82" s="6">
        <f>AVERAGEIFS(History_DAD!$C$2:$C$548,History_DAD!$B$2:$B$548,WEEKDAY($A82,1),History_DAD!$A$2:$A$548,"&gt;="&amp;(Inputs!$B$4-Inputs!$B$10),History_DAD!$A$2:$A$548,"&lt;"&amp;Inputs!$B$4)</f>
        <v>31997.333333333332</v>
      </c>
      <c r="C82" s="6">
        <f>AVERAGEIFS(History_MAT!$C$2:$C$548,History_MAT!$B$2:$B$548,WEEKDAY($A82,1),History_MAT!$A$2:$A$548,"&gt;="&amp;(Inputs!$B$4-Inputs!$B$10),History_MAT!$A$2:$A$548,"&lt;"&amp;Inputs!$B$4)</f>
        <v>17918.5</v>
      </c>
      <c r="D82" s="6">
        <f>AVERAGEIFS(History_SIO!$C$2:$C$548,History_SIO!$B$2:$B$548,WEEKDAY($A82,1),History_SIO!$A$2:$A$548,"&gt;="&amp;(Inputs!$B$4-Inputs!$B$10),History_SIO!$A$2:$A$548,"&lt;"&amp;Inputs!$B$4)</f>
        <v>14078.833333333334</v>
      </c>
      <c r="E82" s="6">
        <f>IF(AND($A82&gt;=Inputs!$B$8,$A82&lt;=Inputs!$B$9),B82*Inputs!$B$6,B82)</f>
        <v>31997.333333333332</v>
      </c>
      <c r="F82" s="6">
        <f>IF(AND($A82&gt;=Inputs!$B$8,$A82&lt;=Inputs!$B$9),C82*Inputs!$B$7,C82)</f>
        <v>17918.5</v>
      </c>
      <c r="G82" s="6">
        <f>IF(AND($A82&gt;=Inputs!$B$8,$A82&lt;=Inputs!$B$9),D82*Inputs!$B$7,D82)</f>
        <v>14078.833333333334</v>
      </c>
      <c r="H82" s="6">
        <f t="shared" si="2"/>
        <v>63994.666666666664</v>
      </c>
      <c r="I82" s="6">
        <f>IF($A82&lt;Inputs!$B$8,Inputs!$B$11,IF($A82&lt;=Inputs!$B$9,Inputs!$B$12,Inputs!$B$11))</f>
        <v>70000</v>
      </c>
    </row>
    <row r="83" spans="1:9" x14ac:dyDescent="0.45">
      <c r="A83" s="3">
        <v>46406</v>
      </c>
      <c r="B83" s="6">
        <f>AVERAGEIFS(History_DAD!$C$2:$C$548,History_DAD!$B$2:$B$548,WEEKDAY($A83,1),History_DAD!$A$2:$A$548,"&gt;="&amp;(Inputs!$B$4-Inputs!$B$10),History_DAD!$A$2:$A$548,"&lt;"&amp;Inputs!$B$4)</f>
        <v>33193.5</v>
      </c>
      <c r="C83" s="6">
        <f>AVERAGEIFS(History_MAT!$C$2:$C$548,History_MAT!$B$2:$B$548,WEEKDAY($A83,1),History_MAT!$A$2:$A$548,"&gt;="&amp;(Inputs!$B$4-Inputs!$B$10),History_MAT!$A$2:$A$548,"&lt;"&amp;Inputs!$B$4)</f>
        <v>18588.25</v>
      </c>
      <c r="D83" s="6">
        <f>AVERAGEIFS(History_SIO!$C$2:$C$548,History_SIO!$B$2:$B$548,WEEKDAY($A83,1),History_SIO!$A$2:$A$548,"&gt;="&amp;(Inputs!$B$4-Inputs!$B$10),History_SIO!$A$2:$A$548,"&lt;"&amp;Inputs!$B$4)</f>
        <v>14605.166666666666</v>
      </c>
      <c r="E83" s="6">
        <f>IF(AND($A83&gt;=Inputs!$B$8,$A83&lt;=Inputs!$B$9),B83*Inputs!$B$6,B83)</f>
        <v>33193.5</v>
      </c>
      <c r="F83" s="6">
        <f>IF(AND($A83&gt;=Inputs!$B$8,$A83&lt;=Inputs!$B$9),C83*Inputs!$B$7,C83)</f>
        <v>18588.25</v>
      </c>
      <c r="G83" s="6">
        <f>IF(AND($A83&gt;=Inputs!$B$8,$A83&lt;=Inputs!$B$9),D83*Inputs!$B$7,D83)</f>
        <v>14605.166666666666</v>
      </c>
      <c r="H83" s="6">
        <f t="shared" si="2"/>
        <v>66386.916666666672</v>
      </c>
      <c r="I83" s="6">
        <f>IF($A83&lt;Inputs!$B$8,Inputs!$B$11,IF($A83&lt;=Inputs!$B$9,Inputs!$B$12,Inputs!$B$11))</f>
        <v>70000</v>
      </c>
    </row>
    <row r="84" spans="1:9" x14ac:dyDescent="0.45">
      <c r="A84" s="3">
        <v>46407</v>
      </c>
      <c r="B84" s="6">
        <f>AVERAGEIFS(History_DAD!$C$2:$C$548,History_DAD!$B$2:$B$548,WEEKDAY($A84,1),History_DAD!$A$2:$A$548,"&gt;="&amp;(Inputs!$B$4-Inputs!$B$10),History_DAD!$A$2:$A$548,"&lt;"&amp;Inputs!$B$4)</f>
        <v>34045.833333333336</v>
      </c>
      <c r="C84" s="6">
        <f>AVERAGEIFS(History_MAT!$C$2:$C$548,History_MAT!$B$2:$B$548,WEEKDAY($A84,1),History_MAT!$A$2:$A$548,"&gt;="&amp;(Inputs!$B$4-Inputs!$B$10),History_MAT!$A$2:$A$548,"&lt;"&amp;Inputs!$B$4)</f>
        <v>19065.583333333332</v>
      </c>
      <c r="D84" s="6">
        <f>AVERAGEIFS(History_SIO!$C$2:$C$548,History_SIO!$B$2:$B$548,WEEKDAY($A84,1),History_SIO!$A$2:$A$548,"&gt;="&amp;(Inputs!$B$4-Inputs!$B$10),History_SIO!$A$2:$A$548,"&lt;"&amp;Inputs!$B$4)</f>
        <v>14980.166666666666</v>
      </c>
      <c r="E84" s="6">
        <f>IF(AND($A84&gt;=Inputs!$B$8,$A84&lt;=Inputs!$B$9),B84*Inputs!$B$6,B84)</f>
        <v>34045.833333333336</v>
      </c>
      <c r="F84" s="6">
        <f>IF(AND($A84&gt;=Inputs!$B$8,$A84&lt;=Inputs!$B$9),C84*Inputs!$B$7,C84)</f>
        <v>19065.583333333332</v>
      </c>
      <c r="G84" s="6">
        <f>IF(AND($A84&gt;=Inputs!$B$8,$A84&lt;=Inputs!$B$9),D84*Inputs!$B$7,D84)</f>
        <v>14980.166666666666</v>
      </c>
      <c r="H84" s="6">
        <f t="shared" si="2"/>
        <v>68091.583333333343</v>
      </c>
      <c r="I84" s="6">
        <f>IF($A84&lt;Inputs!$B$8,Inputs!$B$11,IF($A84&lt;=Inputs!$B$9,Inputs!$B$12,Inputs!$B$11))</f>
        <v>70000</v>
      </c>
    </row>
    <row r="85" spans="1:9" x14ac:dyDescent="0.45">
      <c r="A85" s="3">
        <v>46408</v>
      </c>
      <c r="B85" s="6">
        <f>AVERAGEIFS(History_DAD!$C$2:$C$548,History_DAD!$B$2:$B$548,WEEKDAY($A85,1),History_DAD!$A$2:$A$548,"&gt;="&amp;(Inputs!$B$4-Inputs!$B$10),History_DAD!$A$2:$A$548,"&lt;"&amp;Inputs!$B$4)</f>
        <v>34997.666666666664</v>
      </c>
      <c r="C85" s="6">
        <f>AVERAGEIFS(History_MAT!$C$2:$C$548,History_MAT!$B$2:$B$548,WEEKDAY($A85,1),History_MAT!$A$2:$A$548,"&gt;="&amp;(Inputs!$B$4-Inputs!$B$10),History_MAT!$A$2:$A$548,"&lt;"&amp;Inputs!$B$4)</f>
        <v>19598.75</v>
      </c>
      <c r="D85" s="6">
        <f>AVERAGEIFS(History_SIO!$C$2:$C$548,History_SIO!$B$2:$B$548,WEEKDAY($A85,1),History_SIO!$A$2:$A$548,"&gt;="&amp;(Inputs!$B$4-Inputs!$B$10),History_SIO!$A$2:$A$548,"&lt;"&amp;Inputs!$B$4)</f>
        <v>15398.916666666666</v>
      </c>
      <c r="E85" s="6">
        <f>IF(AND($A85&gt;=Inputs!$B$8,$A85&lt;=Inputs!$B$9),B85*Inputs!$B$6,B85)</f>
        <v>34997.666666666664</v>
      </c>
      <c r="F85" s="6">
        <f>IF(AND($A85&gt;=Inputs!$B$8,$A85&lt;=Inputs!$B$9),C85*Inputs!$B$7,C85)</f>
        <v>19598.75</v>
      </c>
      <c r="G85" s="6">
        <f>IF(AND($A85&gt;=Inputs!$B$8,$A85&lt;=Inputs!$B$9),D85*Inputs!$B$7,D85)</f>
        <v>15398.916666666666</v>
      </c>
      <c r="H85" s="6">
        <f t="shared" si="2"/>
        <v>69995.333333333328</v>
      </c>
      <c r="I85" s="6">
        <f>IF($A85&lt;Inputs!$B$8,Inputs!$B$11,IF($A85&lt;=Inputs!$B$9,Inputs!$B$12,Inputs!$B$11))</f>
        <v>70000</v>
      </c>
    </row>
    <row r="86" spans="1:9" x14ac:dyDescent="0.45">
      <c r="A86" s="3">
        <v>46409</v>
      </c>
      <c r="B86" s="6">
        <f>AVERAGEIFS(History_DAD!$C$2:$C$548,History_DAD!$B$2:$B$548,WEEKDAY($A86,1),History_DAD!$A$2:$A$548,"&gt;="&amp;(Inputs!$B$4-Inputs!$B$10),History_DAD!$A$2:$A$548,"&lt;"&amp;Inputs!$B$4)</f>
        <v>35801.583333333336</v>
      </c>
      <c r="C86" s="6">
        <f>AVERAGEIFS(History_MAT!$C$2:$C$548,History_MAT!$B$2:$B$548,WEEKDAY($A86,1),History_MAT!$A$2:$A$548,"&gt;="&amp;(Inputs!$B$4-Inputs!$B$10),History_MAT!$A$2:$A$548,"&lt;"&amp;Inputs!$B$4)</f>
        <v>20049.083333333332</v>
      </c>
      <c r="D86" s="6">
        <f>AVERAGEIFS(History_SIO!$C$2:$C$548,History_SIO!$B$2:$B$548,WEEKDAY($A86,1),History_SIO!$A$2:$A$548,"&gt;="&amp;(Inputs!$B$4-Inputs!$B$10),History_SIO!$A$2:$A$548,"&lt;"&amp;Inputs!$B$4)</f>
        <v>15752.75</v>
      </c>
      <c r="E86" s="6">
        <f>IF(AND($A86&gt;=Inputs!$B$8,$A86&lt;=Inputs!$B$9),B86*Inputs!$B$6,B86)</f>
        <v>35801.583333333336</v>
      </c>
      <c r="F86" s="6">
        <f>IF(AND($A86&gt;=Inputs!$B$8,$A86&lt;=Inputs!$B$9),C86*Inputs!$B$7,C86)</f>
        <v>20049.083333333332</v>
      </c>
      <c r="G86" s="6">
        <f>IF(AND($A86&gt;=Inputs!$B$8,$A86&lt;=Inputs!$B$9),D86*Inputs!$B$7,D86)</f>
        <v>15752.75</v>
      </c>
      <c r="H86" s="6">
        <f t="shared" si="2"/>
        <v>71603.416666666672</v>
      </c>
      <c r="I86" s="6">
        <f>IF($A86&lt;Inputs!$B$8,Inputs!$B$11,IF($A86&lt;=Inputs!$B$9,Inputs!$B$12,Inputs!$B$11))</f>
        <v>70000</v>
      </c>
    </row>
    <row r="87" spans="1:9" x14ac:dyDescent="0.45">
      <c r="A87" s="3">
        <v>46410</v>
      </c>
      <c r="B87" s="6">
        <f>AVERAGEIFS(History_DAD!$C$2:$C$548,History_DAD!$B$2:$B$548,WEEKDAY($A87,1),History_DAD!$A$2:$A$548,"&gt;="&amp;(Inputs!$B$4-Inputs!$B$10),History_DAD!$A$2:$A$548,"&lt;"&amp;Inputs!$B$4)</f>
        <v>39113.333333333336</v>
      </c>
      <c r="C87" s="6">
        <f>AVERAGEIFS(History_MAT!$C$2:$C$548,History_MAT!$B$2:$B$548,WEEKDAY($A87,1),History_MAT!$A$2:$A$548,"&gt;="&amp;(Inputs!$B$4-Inputs!$B$10),History_MAT!$A$2:$A$548,"&lt;"&amp;Inputs!$B$4)</f>
        <v>21903.333333333332</v>
      </c>
      <c r="D87" s="6">
        <f>AVERAGEIFS(History_SIO!$C$2:$C$548,History_SIO!$B$2:$B$548,WEEKDAY($A87,1),History_SIO!$A$2:$A$548,"&gt;="&amp;(Inputs!$B$4-Inputs!$B$10),History_SIO!$A$2:$A$548,"&lt;"&amp;Inputs!$B$4)</f>
        <v>17209.916666666668</v>
      </c>
      <c r="E87" s="6">
        <f>IF(AND($A87&gt;=Inputs!$B$8,$A87&lt;=Inputs!$B$9),B87*Inputs!$B$6,B87)</f>
        <v>39113.333333333336</v>
      </c>
      <c r="F87" s="6">
        <f>IF(AND($A87&gt;=Inputs!$B$8,$A87&lt;=Inputs!$B$9),C87*Inputs!$B$7,C87)</f>
        <v>21903.333333333332</v>
      </c>
      <c r="G87" s="6">
        <f>IF(AND($A87&gt;=Inputs!$B$8,$A87&lt;=Inputs!$B$9),D87*Inputs!$B$7,D87)</f>
        <v>17209.916666666668</v>
      </c>
      <c r="H87" s="6">
        <f t="shared" si="2"/>
        <v>78226.583333333343</v>
      </c>
      <c r="I87" s="6">
        <f>IF($A87&lt;Inputs!$B$8,Inputs!$B$11,IF($A87&lt;=Inputs!$B$9,Inputs!$B$12,Inputs!$B$11))</f>
        <v>70000</v>
      </c>
    </row>
    <row r="88" spans="1:9" x14ac:dyDescent="0.45">
      <c r="A88" s="3">
        <v>46411</v>
      </c>
      <c r="B88" s="6">
        <f>AVERAGEIFS(History_DAD!$C$2:$C$548,History_DAD!$B$2:$B$548,WEEKDAY($A88,1),History_DAD!$A$2:$A$548,"&gt;="&amp;(Inputs!$B$4-Inputs!$B$10),History_DAD!$A$2:$A$548,"&lt;"&amp;Inputs!$B$4)</f>
        <v>36355.5</v>
      </c>
      <c r="C88" s="6">
        <f>AVERAGEIFS(History_MAT!$C$2:$C$548,History_MAT!$B$2:$B$548,WEEKDAY($A88,1),History_MAT!$A$2:$A$548,"&gt;="&amp;(Inputs!$B$4-Inputs!$B$10),History_MAT!$A$2:$A$548,"&lt;"&amp;Inputs!$B$4)</f>
        <v>20359.166666666668</v>
      </c>
      <c r="D88" s="6">
        <f>AVERAGEIFS(History_SIO!$C$2:$C$548,History_SIO!$B$2:$B$548,WEEKDAY($A88,1),History_SIO!$A$2:$A$548,"&gt;="&amp;(Inputs!$B$4-Inputs!$B$10),History_SIO!$A$2:$A$548,"&lt;"&amp;Inputs!$B$4)</f>
        <v>15996.333333333334</v>
      </c>
      <c r="E88" s="6">
        <f>IF(AND($A88&gt;=Inputs!$B$8,$A88&lt;=Inputs!$B$9),B88*Inputs!$B$6,B88)</f>
        <v>36355.5</v>
      </c>
      <c r="F88" s="6">
        <f>IF(AND($A88&gt;=Inputs!$B$8,$A88&lt;=Inputs!$B$9),C88*Inputs!$B$7,C88)</f>
        <v>20359.166666666668</v>
      </c>
      <c r="G88" s="6">
        <f>IF(AND($A88&gt;=Inputs!$B$8,$A88&lt;=Inputs!$B$9),D88*Inputs!$B$7,D88)</f>
        <v>15996.333333333334</v>
      </c>
      <c r="H88" s="6">
        <f t="shared" si="2"/>
        <v>72711</v>
      </c>
      <c r="I88" s="6">
        <f>IF($A88&lt;Inputs!$B$8,Inputs!$B$11,IF($A88&lt;=Inputs!$B$9,Inputs!$B$12,Inputs!$B$11))</f>
        <v>70000</v>
      </c>
    </row>
    <row r="89" spans="1:9" x14ac:dyDescent="0.45">
      <c r="A89" s="3">
        <v>46412</v>
      </c>
      <c r="B89" s="6">
        <f>AVERAGEIFS(History_DAD!$C$2:$C$548,History_DAD!$B$2:$B$548,WEEKDAY($A89,1),History_DAD!$A$2:$A$548,"&gt;="&amp;(Inputs!$B$4-Inputs!$B$10),History_DAD!$A$2:$A$548,"&lt;"&amp;Inputs!$B$4)</f>
        <v>31997.333333333332</v>
      </c>
      <c r="C89" s="6">
        <f>AVERAGEIFS(History_MAT!$C$2:$C$548,History_MAT!$B$2:$B$548,WEEKDAY($A89,1),History_MAT!$A$2:$A$548,"&gt;="&amp;(Inputs!$B$4-Inputs!$B$10),History_MAT!$A$2:$A$548,"&lt;"&amp;Inputs!$B$4)</f>
        <v>17918.5</v>
      </c>
      <c r="D89" s="6">
        <f>AVERAGEIFS(History_SIO!$C$2:$C$548,History_SIO!$B$2:$B$548,WEEKDAY($A89,1),History_SIO!$A$2:$A$548,"&gt;="&amp;(Inputs!$B$4-Inputs!$B$10),History_SIO!$A$2:$A$548,"&lt;"&amp;Inputs!$B$4)</f>
        <v>14078.833333333334</v>
      </c>
      <c r="E89" s="6">
        <f>IF(AND($A89&gt;=Inputs!$B$8,$A89&lt;=Inputs!$B$9),B89*Inputs!$B$6,B89)</f>
        <v>31997.333333333332</v>
      </c>
      <c r="F89" s="6">
        <f>IF(AND($A89&gt;=Inputs!$B$8,$A89&lt;=Inputs!$B$9),C89*Inputs!$B$7,C89)</f>
        <v>17918.5</v>
      </c>
      <c r="G89" s="6">
        <f>IF(AND($A89&gt;=Inputs!$B$8,$A89&lt;=Inputs!$B$9),D89*Inputs!$B$7,D89)</f>
        <v>14078.833333333334</v>
      </c>
      <c r="H89" s="6">
        <f t="shared" si="2"/>
        <v>63994.666666666664</v>
      </c>
      <c r="I89" s="6">
        <f>IF($A89&lt;Inputs!$B$8,Inputs!$B$11,IF($A89&lt;=Inputs!$B$9,Inputs!$B$12,Inputs!$B$11))</f>
        <v>70000</v>
      </c>
    </row>
    <row r="90" spans="1:9" x14ac:dyDescent="0.45">
      <c r="A90" s="3">
        <v>46413</v>
      </c>
      <c r="B90" s="6">
        <f>AVERAGEIFS(History_DAD!$C$2:$C$548,History_DAD!$B$2:$B$548,WEEKDAY($A90,1),History_DAD!$A$2:$A$548,"&gt;="&amp;(Inputs!$B$4-Inputs!$B$10),History_DAD!$A$2:$A$548,"&lt;"&amp;Inputs!$B$4)</f>
        <v>33193.5</v>
      </c>
      <c r="C90" s="6">
        <f>AVERAGEIFS(History_MAT!$C$2:$C$548,History_MAT!$B$2:$B$548,WEEKDAY($A90,1),History_MAT!$A$2:$A$548,"&gt;="&amp;(Inputs!$B$4-Inputs!$B$10),History_MAT!$A$2:$A$548,"&lt;"&amp;Inputs!$B$4)</f>
        <v>18588.25</v>
      </c>
      <c r="D90" s="6">
        <f>AVERAGEIFS(History_SIO!$C$2:$C$548,History_SIO!$B$2:$B$548,WEEKDAY($A90,1),History_SIO!$A$2:$A$548,"&gt;="&amp;(Inputs!$B$4-Inputs!$B$10),History_SIO!$A$2:$A$548,"&lt;"&amp;Inputs!$B$4)</f>
        <v>14605.166666666666</v>
      </c>
      <c r="E90" s="6">
        <f>IF(AND($A90&gt;=Inputs!$B$8,$A90&lt;=Inputs!$B$9),B90*Inputs!$B$6,B90)</f>
        <v>33193.5</v>
      </c>
      <c r="F90" s="6">
        <f>IF(AND($A90&gt;=Inputs!$B$8,$A90&lt;=Inputs!$B$9),C90*Inputs!$B$7,C90)</f>
        <v>18588.25</v>
      </c>
      <c r="G90" s="6">
        <f>IF(AND($A90&gt;=Inputs!$B$8,$A90&lt;=Inputs!$B$9),D90*Inputs!$B$7,D90)</f>
        <v>14605.166666666666</v>
      </c>
      <c r="H90" s="6">
        <f t="shared" si="2"/>
        <v>66386.916666666672</v>
      </c>
      <c r="I90" s="6">
        <f>IF($A90&lt;Inputs!$B$8,Inputs!$B$11,IF($A90&lt;=Inputs!$B$9,Inputs!$B$12,Inputs!$B$11))</f>
        <v>70000</v>
      </c>
    </row>
    <row r="91" spans="1:9" x14ac:dyDescent="0.45">
      <c r="A91" s="3">
        <v>46414</v>
      </c>
      <c r="B91" s="6">
        <f>AVERAGEIFS(History_DAD!$C$2:$C$548,History_DAD!$B$2:$B$548,WEEKDAY($A91,1),History_DAD!$A$2:$A$548,"&gt;="&amp;(Inputs!$B$4-Inputs!$B$10),History_DAD!$A$2:$A$548,"&lt;"&amp;Inputs!$B$4)</f>
        <v>34045.833333333336</v>
      </c>
      <c r="C91" s="6">
        <f>AVERAGEIFS(History_MAT!$C$2:$C$548,History_MAT!$B$2:$B$548,WEEKDAY($A91,1),History_MAT!$A$2:$A$548,"&gt;="&amp;(Inputs!$B$4-Inputs!$B$10),History_MAT!$A$2:$A$548,"&lt;"&amp;Inputs!$B$4)</f>
        <v>19065.583333333332</v>
      </c>
      <c r="D91" s="6">
        <f>AVERAGEIFS(History_SIO!$C$2:$C$548,History_SIO!$B$2:$B$548,WEEKDAY($A91,1),History_SIO!$A$2:$A$548,"&gt;="&amp;(Inputs!$B$4-Inputs!$B$10),History_SIO!$A$2:$A$548,"&lt;"&amp;Inputs!$B$4)</f>
        <v>14980.166666666666</v>
      </c>
      <c r="E91" s="6">
        <f>IF(AND($A91&gt;=Inputs!$B$8,$A91&lt;=Inputs!$B$9),B91*Inputs!$B$6,B91)</f>
        <v>34045.833333333336</v>
      </c>
      <c r="F91" s="6">
        <f>IF(AND($A91&gt;=Inputs!$B$8,$A91&lt;=Inputs!$B$9),C91*Inputs!$B$7,C91)</f>
        <v>19065.583333333332</v>
      </c>
      <c r="G91" s="6">
        <f>IF(AND($A91&gt;=Inputs!$B$8,$A91&lt;=Inputs!$B$9),D91*Inputs!$B$7,D91)</f>
        <v>14980.166666666666</v>
      </c>
      <c r="H91" s="6">
        <f t="shared" si="2"/>
        <v>68091.583333333343</v>
      </c>
      <c r="I91" s="6">
        <f>IF($A91&lt;Inputs!$B$8,Inputs!$B$11,IF($A91&lt;=Inputs!$B$9,Inputs!$B$12,Inputs!$B$11))</f>
        <v>70000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8"/>
  <sheetViews>
    <sheetView workbookViewId="0"/>
  </sheetViews>
  <sheetFormatPr defaultRowHeight="14.25" x14ac:dyDescent="0.45"/>
  <cols>
    <col min="1" max="1" width="14" customWidth="1"/>
    <col min="2" max="2" width="12" customWidth="1"/>
    <col min="3" max="3" width="24" customWidth="1"/>
    <col min="4" max="4" width="16" customWidth="1"/>
    <col min="5" max="5" width="18" customWidth="1"/>
    <col min="6" max="6" width="42" customWidth="1"/>
  </cols>
  <sheetData>
    <row r="1" spans="1:6" x14ac:dyDescent="0.45">
      <c r="A1" t="s">
        <v>67</v>
      </c>
      <c r="B1" t="s">
        <v>56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45">
      <c r="A2" t="s">
        <v>72</v>
      </c>
      <c r="B2" s="3">
        <v>46326</v>
      </c>
      <c r="C2" t="s">
        <v>73</v>
      </c>
      <c r="D2" t="s">
        <v>74</v>
      </c>
      <c r="E2" s="4">
        <v>290000</v>
      </c>
      <c r="F2" t="s">
        <v>75</v>
      </c>
    </row>
    <row r="3" spans="1:6" x14ac:dyDescent="0.45">
      <c r="A3" t="s">
        <v>76</v>
      </c>
      <c r="B3" s="3">
        <v>46327</v>
      </c>
      <c r="C3" t="s">
        <v>77</v>
      </c>
      <c r="D3" t="s">
        <v>78</v>
      </c>
      <c r="E3" s="4">
        <v>105000</v>
      </c>
      <c r="F3" t="s">
        <v>75</v>
      </c>
    </row>
    <row r="4" spans="1:6" x14ac:dyDescent="0.45">
      <c r="A4" t="s">
        <v>79</v>
      </c>
      <c r="B4" s="3">
        <v>46327</v>
      </c>
      <c r="C4" t="s">
        <v>80</v>
      </c>
      <c r="D4" t="s">
        <v>74</v>
      </c>
      <c r="E4" s="4">
        <v>150000</v>
      </c>
      <c r="F4" t="s">
        <v>75</v>
      </c>
    </row>
    <row r="5" spans="1:6" x14ac:dyDescent="0.45">
      <c r="A5" t="s">
        <v>81</v>
      </c>
      <c r="B5" s="3">
        <v>46330</v>
      </c>
      <c r="C5" t="s">
        <v>82</v>
      </c>
      <c r="D5" t="s">
        <v>74</v>
      </c>
      <c r="E5" s="4">
        <v>520000</v>
      </c>
      <c r="F5" t="s">
        <v>83</v>
      </c>
    </row>
    <row r="6" spans="1:6" x14ac:dyDescent="0.45">
      <c r="A6" t="s">
        <v>84</v>
      </c>
      <c r="B6" s="3">
        <v>46331</v>
      </c>
      <c r="C6" t="s">
        <v>85</v>
      </c>
      <c r="D6" t="s">
        <v>86</v>
      </c>
      <c r="E6" s="4">
        <v>107000</v>
      </c>
      <c r="F6" t="s">
        <v>75</v>
      </c>
    </row>
    <row r="7" spans="1:6" x14ac:dyDescent="0.45">
      <c r="A7" t="s">
        <v>87</v>
      </c>
      <c r="B7" s="3">
        <v>46331</v>
      </c>
      <c r="C7" t="s">
        <v>88</v>
      </c>
      <c r="D7" t="s">
        <v>89</v>
      </c>
      <c r="E7" s="4">
        <v>52500</v>
      </c>
      <c r="F7" t="s">
        <v>75</v>
      </c>
    </row>
    <row r="8" spans="1:6" x14ac:dyDescent="0.45">
      <c r="A8" t="s">
        <v>90</v>
      </c>
      <c r="B8" s="3">
        <v>46346</v>
      </c>
      <c r="C8" t="s">
        <v>91</v>
      </c>
      <c r="D8" t="s">
        <v>92</v>
      </c>
      <c r="E8" s="4">
        <v>42000</v>
      </c>
      <c r="F8" t="s">
        <v>75</v>
      </c>
    </row>
    <row r="9" spans="1:6" x14ac:dyDescent="0.45">
      <c r="A9" t="s">
        <v>93</v>
      </c>
      <c r="B9" s="3">
        <v>46357</v>
      </c>
      <c r="C9" t="s">
        <v>77</v>
      </c>
      <c r="D9" t="s">
        <v>78</v>
      </c>
      <c r="E9" s="4">
        <v>105000</v>
      </c>
      <c r="F9" t="s">
        <v>94</v>
      </c>
    </row>
    <row r="10" spans="1:6" x14ac:dyDescent="0.45">
      <c r="A10" t="s">
        <v>95</v>
      </c>
      <c r="B10" s="3">
        <v>46361</v>
      </c>
      <c r="C10" t="s">
        <v>85</v>
      </c>
      <c r="D10" t="s">
        <v>86</v>
      </c>
      <c r="E10" s="4">
        <v>107000</v>
      </c>
      <c r="F10" t="s">
        <v>94</v>
      </c>
    </row>
    <row r="11" spans="1:6" x14ac:dyDescent="0.45">
      <c r="A11" t="s">
        <v>96</v>
      </c>
      <c r="B11" s="3">
        <v>46376</v>
      </c>
      <c r="C11" t="s">
        <v>97</v>
      </c>
      <c r="D11" t="s">
        <v>92</v>
      </c>
      <c r="E11" s="4">
        <v>42000</v>
      </c>
      <c r="F11" t="s">
        <v>94</v>
      </c>
    </row>
    <row r="12" spans="1:6" x14ac:dyDescent="0.45">
      <c r="A12" t="s">
        <v>98</v>
      </c>
      <c r="B12" s="3">
        <v>46388</v>
      </c>
      <c r="C12" t="s">
        <v>77</v>
      </c>
      <c r="D12" t="s">
        <v>78</v>
      </c>
      <c r="E12" s="4">
        <v>105000</v>
      </c>
      <c r="F12" t="s">
        <v>94</v>
      </c>
    </row>
    <row r="13" spans="1:6" x14ac:dyDescent="0.45">
      <c r="A13" t="s">
        <v>99</v>
      </c>
      <c r="B13" s="3">
        <v>46392</v>
      </c>
      <c r="C13" t="s">
        <v>85</v>
      </c>
      <c r="D13" t="s">
        <v>86</v>
      </c>
      <c r="E13" s="4">
        <v>107000</v>
      </c>
      <c r="F13" t="s">
        <v>94</v>
      </c>
    </row>
    <row r="14" spans="1:6" x14ac:dyDescent="0.45">
      <c r="A14" t="s">
        <v>100</v>
      </c>
      <c r="B14" s="3">
        <v>46407</v>
      </c>
      <c r="C14" t="s">
        <v>101</v>
      </c>
      <c r="D14" t="s">
        <v>92</v>
      </c>
      <c r="E14" s="4">
        <v>42000</v>
      </c>
      <c r="F14" t="s">
        <v>94</v>
      </c>
    </row>
    <row r="15" spans="1:6" x14ac:dyDescent="0.45">
      <c r="A15" t="s">
        <v>102</v>
      </c>
      <c r="B15" s="3">
        <v>46418</v>
      </c>
      <c r="C15" t="s">
        <v>103</v>
      </c>
      <c r="D15" t="s">
        <v>104</v>
      </c>
      <c r="E15" s="4">
        <v>650</v>
      </c>
      <c r="F15" t="s">
        <v>105</v>
      </c>
    </row>
    <row r="16" spans="1:6" x14ac:dyDescent="0.45">
      <c r="A16" t="s">
        <v>106</v>
      </c>
      <c r="B16" s="3">
        <v>46327</v>
      </c>
      <c r="C16" t="s">
        <v>107</v>
      </c>
      <c r="D16" t="s">
        <v>108</v>
      </c>
      <c r="E16" s="4">
        <v>22000</v>
      </c>
      <c r="F16" t="s">
        <v>109</v>
      </c>
    </row>
    <row r="17" spans="1:6" x14ac:dyDescent="0.45">
      <c r="A17" t="s">
        <v>110</v>
      </c>
      <c r="B17" s="3">
        <v>46357</v>
      </c>
      <c r="C17" t="s">
        <v>107</v>
      </c>
      <c r="D17" t="s">
        <v>108</v>
      </c>
      <c r="E17" s="4">
        <v>22000</v>
      </c>
      <c r="F17" t="s">
        <v>109</v>
      </c>
    </row>
    <row r="18" spans="1:6" x14ac:dyDescent="0.45">
      <c r="A18" t="s">
        <v>111</v>
      </c>
      <c r="B18" s="3">
        <v>46388</v>
      </c>
      <c r="C18" t="s">
        <v>107</v>
      </c>
      <c r="D18" t="s">
        <v>108</v>
      </c>
      <c r="E18" s="4">
        <v>22000</v>
      </c>
      <c r="F18" t="s">
        <v>109</v>
      </c>
    </row>
  </sheetData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91"/>
  <sheetViews>
    <sheetView workbookViewId="0"/>
  </sheetViews>
  <sheetFormatPr defaultRowHeight="14.25" x14ac:dyDescent="0.45"/>
  <cols>
    <col min="1" max="13" width="15" customWidth="1"/>
  </cols>
  <sheetData>
    <row r="1" spans="1:15" x14ac:dyDescent="0.45">
      <c r="A1" s="5" t="s">
        <v>56</v>
      </c>
      <c r="B1" s="5" t="s">
        <v>112</v>
      </c>
      <c r="C1" s="5" t="s">
        <v>113</v>
      </c>
      <c r="D1" s="5" t="s">
        <v>114</v>
      </c>
      <c r="E1" s="5" t="s">
        <v>115</v>
      </c>
      <c r="F1" s="5" t="s">
        <v>116</v>
      </c>
      <c r="G1" s="5" t="s">
        <v>117</v>
      </c>
      <c r="H1" s="5" t="s">
        <v>118</v>
      </c>
      <c r="I1" s="5" t="s">
        <v>119</v>
      </c>
      <c r="J1" s="5" t="s">
        <v>120</v>
      </c>
      <c r="K1" s="5" t="s">
        <v>121</v>
      </c>
      <c r="L1" s="5" t="s">
        <v>122</v>
      </c>
      <c r="M1" s="5" t="s">
        <v>123</v>
      </c>
      <c r="O1" t="s">
        <v>124</v>
      </c>
    </row>
    <row r="2" spans="1:15" x14ac:dyDescent="0.45">
      <c r="A2" s="3">
        <f>Forecast!A2</f>
        <v>46325</v>
      </c>
      <c r="B2" s="6">
        <f>SUMIFS(Outflows!$E$2:$E$18,Outflows!$B$2:$B$18,$A2,Outflows!$D$2:$D$18,"&lt;&gt;existing_emi_assumed")</f>
        <v>0</v>
      </c>
      <c r="C2" s="6">
        <f>SUMIFS(Outflows!$E$2:$E$18,Outflows!$B$2:$B$18,$A2,Outflows!$D$2:$D$18,"existing_emi_assumed")</f>
        <v>0</v>
      </c>
      <c r="D2" s="6">
        <f>Forecast!I2</f>
        <v>70000</v>
      </c>
      <c r="E2" s="6">
        <f>Forecast!H2</f>
        <v>71603.416666666672</v>
      </c>
      <c r="F2" s="6">
        <f>Inputs!$B$3+D2-B2</f>
        <v>520000</v>
      </c>
      <c r="G2" s="6">
        <f>Inputs!$B$3+E2-B2-C2</f>
        <v>521603.41666666669</v>
      </c>
      <c r="H2" s="6">
        <f>F2+IF($A2&gt;=Inputs!$B$21,Inputs!$B$20,0)-IF($A2&gt;=DATE(2026,12,4),Loan_Schedule!$B$4,0)-IF($A2&gt;=DATE(2027,1,4),Loan_Schedule!$B$4,0)</f>
        <v>520000</v>
      </c>
      <c r="I2" s="6">
        <f>F2+IF(AND($A2&gt;=Inputs!$B$21,$A2&lt;Inputs!$B$23),Inputs!$B$22,0)</f>
        <v>520000</v>
      </c>
      <c r="J2" s="6">
        <f>F2+(Inputs!$B$26/Inputs!$B$25)*(IF($A2&gt;=DATE(2026,10,31),290000,0)+IF($A2&gt;=DATE(2026,11,1),150000,0)+IF($A2&gt;=DATE(2026,11,4),520000,0))</f>
        <v>520000</v>
      </c>
      <c r="K2" s="6">
        <f>G2+IF($A2&gt;=Inputs!$B$21,Inputs!$B$20,0)-IF($A2&gt;=DATE(2026,12,4),Loan_Schedule!$B$4,0)-IF($A2&gt;=DATE(2027,1,4),Loan_Schedule!$B$4,0)</f>
        <v>521603.41666666669</v>
      </c>
      <c r="L2" s="6">
        <f>F2+IF($A2&gt;=Inputs!$B$21,Inputs!$B$20,0)-IF($A2&gt;=DATE(2026,11,30),Inputs!$B$20+Loan_Schedule!$B$7,0)</f>
        <v>520000</v>
      </c>
      <c r="M2" s="6">
        <f>G2+IF($A2&gt;=Inputs!$B$21,Inputs!$B$20,0)-IF($A2&gt;=DATE(2026,11,30),Inputs!$B$20+Loan_Schedule!$B$7,0)</f>
        <v>521603.41666666669</v>
      </c>
    </row>
    <row r="3" spans="1:15" x14ac:dyDescent="0.45">
      <c r="A3" s="3">
        <f>Forecast!A3</f>
        <v>46326</v>
      </c>
      <c r="B3" s="6">
        <f>SUMIFS(Outflows!$E$2:$E$18,Outflows!$B$2:$B$18,$A3,Outflows!$D$2:$D$18,"&lt;&gt;existing_emi_assumed")</f>
        <v>290000</v>
      </c>
      <c r="C3" s="6">
        <f>SUMIFS(Outflows!$E$2:$E$18,Outflows!$B$2:$B$18,$A3,Outflows!$D$2:$D$18,"existing_emi_assumed")</f>
        <v>0</v>
      </c>
      <c r="D3" s="6">
        <f>Forecast!I3</f>
        <v>70000</v>
      </c>
      <c r="E3" s="6">
        <f>Forecast!H3</f>
        <v>78226.583333333343</v>
      </c>
      <c r="F3" s="6">
        <f t="shared" ref="F3:F34" si="0">F2+D3-B3</f>
        <v>300000</v>
      </c>
      <c r="G3" s="6">
        <f t="shared" ref="G3:G34" si="1">G2+E3-B3-C3</f>
        <v>309830</v>
      </c>
      <c r="H3" s="6">
        <f>F3+IF($A3&gt;=Inputs!$B$21,Inputs!$B$20,0)-IF($A3&gt;=DATE(2026,12,4),Loan_Schedule!$B$4,0)-IF($A3&gt;=DATE(2027,1,4),Loan_Schedule!$B$4,0)</f>
        <v>300000</v>
      </c>
      <c r="I3" s="6">
        <f>F3+IF(AND($A3&gt;=Inputs!$B$21,$A3&lt;Inputs!$B$23),Inputs!$B$22,0)</f>
        <v>300000</v>
      </c>
      <c r="J3" s="6">
        <f>F3+(Inputs!$B$26/Inputs!$B$25)*(IF($A3&gt;=DATE(2026,10,31),290000,0)+IF($A3&gt;=DATE(2026,11,1),150000,0)+IF($A3&gt;=DATE(2026,11,4),520000,0))</f>
        <v>354375</v>
      </c>
      <c r="K3" s="6">
        <f>G3+IF($A3&gt;=Inputs!$B$21,Inputs!$B$20,0)-IF($A3&gt;=DATE(2026,12,4),Loan_Schedule!$B$4,0)-IF($A3&gt;=DATE(2027,1,4),Loan_Schedule!$B$4,0)</f>
        <v>309830</v>
      </c>
      <c r="L3" s="6">
        <f>F3+IF($A3&gt;=Inputs!$B$21,Inputs!$B$20,0)-IF($A3&gt;=DATE(2026,11,30),Inputs!$B$20+Loan_Schedule!$B$7,0)</f>
        <v>300000</v>
      </c>
      <c r="M3" s="6">
        <f>G3+IF($A3&gt;=Inputs!$B$21,Inputs!$B$20,0)-IF($A3&gt;=DATE(2026,11,30),Inputs!$B$20+Loan_Schedule!$B$7,0)</f>
        <v>309830</v>
      </c>
    </row>
    <row r="4" spans="1:15" x14ac:dyDescent="0.45">
      <c r="A4" s="3">
        <f>Forecast!A4</f>
        <v>46327</v>
      </c>
      <c r="B4" s="6">
        <f>SUMIFS(Outflows!$E$2:$E$18,Outflows!$B$2:$B$18,$A4,Outflows!$D$2:$D$18,"&lt;&gt;existing_emi_assumed")</f>
        <v>255000</v>
      </c>
      <c r="C4" s="6">
        <f>SUMIFS(Outflows!$E$2:$E$18,Outflows!$B$2:$B$18,$A4,Outflows!$D$2:$D$18,"existing_emi_assumed")</f>
        <v>22000</v>
      </c>
      <c r="D4" s="6">
        <f>Forecast!I4</f>
        <v>70000</v>
      </c>
      <c r="E4" s="6">
        <f>Forecast!H4</f>
        <v>72711</v>
      </c>
      <c r="F4" s="6">
        <f t="shared" si="0"/>
        <v>115000</v>
      </c>
      <c r="G4" s="6">
        <f t="shared" si="1"/>
        <v>105541</v>
      </c>
      <c r="H4" s="6">
        <f>F4+IF($A4&gt;=Inputs!$B$21,Inputs!$B$20,0)-IF($A4&gt;=DATE(2026,12,4),Loan_Schedule!$B$4,0)-IF($A4&gt;=DATE(2027,1,4),Loan_Schedule!$B$4,0)</f>
        <v>115000</v>
      </c>
      <c r="I4" s="6">
        <f>F4+IF(AND($A4&gt;=Inputs!$B$21,$A4&lt;Inputs!$B$23),Inputs!$B$22,0)</f>
        <v>115000</v>
      </c>
      <c r="J4" s="6">
        <f>F4+(Inputs!$B$26/Inputs!$B$25)*(IF($A4&gt;=DATE(2026,10,31),290000,0)+IF($A4&gt;=DATE(2026,11,1),150000,0)+IF($A4&gt;=DATE(2026,11,4),520000,0))</f>
        <v>197500</v>
      </c>
      <c r="K4" s="6">
        <f>G4+IF($A4&gt;=Inputs!$B$21,Inputs!$B$20,0)-IF($A4&gt;=DATE(2026,12,4),Loan_Schedule!$B$4,0)-IF($A4&gt;=DATE(2027,1,4),Loan_Schedule!$B$4,0)</f>
        <v>105541</v>
      </c>
      <c r="L4" s="6">
        <f>F4+IF($A4&gt;=Inputs!$B$21,Inputs!$B$20,0)-IF($A4&gt;=DATE(2026,11,30),Inputs!$B$20+Loan_Schedule!$B$7,0)</f>
        <v>115000</v>
      </c>
      <c r="M4" s="6">
        <f>G4+IF($A4&gt;=Inputs!$B$21,Inputs!$B$20,0)-IF($A4&gt;=DATE(2026,11,30),Inputs!$B$20+Loan_Schedule!$B$7,0)</f>
        <v>105541</v>
      </c>
    </row>
    <row r="5" spans="1:15" x14ac:dyDescent="0.45">
      <c r="A5" s="3">
        <f>Forecast!A5</f>
        <v>46328</v>
      </c>
      <c r="B5" s="6">
        <f>SUMIFS(Outflows!$E$2:$E$18,Outflows!$B$2:$B$18,$A5,Outflows!$D$2:$D$18,"&lt;&gt;existing_emi_assumed")</f>
        <v>0</v>
      </c>
      <c r="C5" s="6">
        <f>SUMIFS(Outflows!$E$2:$E$18,Outflows!$B$2:$B$18,$A5,Outflows!$D$2:$D$18,"existing_emi_assumed")</f>
        <v>0</v>
      </c>
      <c r="D5" s="6">
        <f>Forecast!I5</f>
        <v>70000</v>
      </c>
      <c r="E5" s="6">
        <f>Forecast!H5</f>
        <v>63994.666666666664</v>
      </c>
      <c r="F5" s="6">
        <f t="shared" si="0"/>
        <v>185000</v>
      </c>
      <c r="G5" s="6">
        <f t="shared" si="1"/>
        <v>169535.66666666666</v>
      </c>
      <c r="H5" s="6">
        <f>F5+IF($A5&gt;=Inputs!$B$21,Inputs!$B$20,0)-IF($A5&gt;=DATE(2026,12,4),Loan_Schedule!$B$4,0)-IF($A5&gt;=DATE(2027,1,4),Loan_Schedule!$B$4,0)</f>
        <v>185000</v>
      </c>
      <c r="I5" s="6">
        <f>F5+IF(AND($A5&gt;=Inputs!$B$21,$A5&lt;Inputs!$B$23),Inputs!$B$22,0)</f>
        <v>185000</v>
      </c>
      <c r="J5" s="6">
        <f>F5+(Inputs!$B$26/Inputs!$B$25)*(IF($A5&gt;=DATE(2026,10,31),290000,0)+IF($A5&gt;=DATE(2026,11,1),150000,0)+IF($A5&gt;=DATE(2026,11,4),520000,0))</f>
        <v>267500</v>
      </c>
      <c r="K5" s="6">
        <f>G5+IF($A5&gt;=Inputs!$B$21,Inputs!$B$20,0)-IF($A5&gt;=DATE(2026,12,4),Loan_Schedule!$B$4,0)-IF($A5&gt;=DATE(2027,1,4),Loan_Schedule!$B$4,0)</f>
        <v>169535.66666666666</v>
      </c>
      <c r="L5" s="6">
        <f>F5+IF($A5&gt;=Inputs!$B$21,Inputs!$B$20,0)-IF($A5&gt;=DATE(2026,11,30),Inputs!$B$20+Loan_Schedule!$B$7,0)</f>
        <v>185000</v>
      </c>
      <c r="M5" s="6">
        <f>G5+IF($A5&gt;=Inputs!$B$21,Inputs!$B$20,0)-IF($A5&gt;=DATE(2026,11,30),Inputs!$B$20+Loan_Schedule!$B$7,0)</f>
        <v>169535.66666666666</v>
      </c>
    </row>
    <row r="6" spans="1:15" x14ac:dyDescent="0.45">
      <c r="A6" s="3">
        <f>Forecast!A6</f>
        <v>46329</v>
      </c>
      <c r="B6" s="6">
        <f>SUMIFS(Outflows!$E$2:$E$18,Outflows!$B$2:$B$18,$A6,Outflows!$D$2:$D$18,"&lt;&gt;existing_emi_assumed")</f>
        <v>0</v>
      </c>
      <c r="C6" s="6">
        <f>SUMIFS(Outflows!$E$2:$E$18,Outflows!$B$2:$B$18,$A6,Outflows!$D$2:$D$18,"existing_emi_assumed")</f>
        <v>0</v>
      </c>
      <c r="D6" s="6">
        <f>Forecast!I6</f>
        <v>70000</v>
      </c>
      <c r="E6" s="6">
        <f>Forecast!H6</f>
        <v>66386.916666666672</v>
      </c>
      <c r="F6" s="6">
        <f t="shared" si="0"/>
        <v>255000</v>
      </c>
      <c r="G6" s="6">
        <f t="shared" si="1"/>
        <v>235922.58333333331</v>
      </c>
      <c r="H6" s="6">
        <f>F6+IF($A6&gt;=Inputs!$B$21,Inputs!$B$20,0)-IF($A6&gt;=DATE(2026,12,4),Loan_Schedule!$B$4,0)-IF($A6&gt;=DATE(2027,1,4),Loan_Schedule!$B$4,0)</f>
        <v>255000</v>
      </c>
      <c r="I6" s="6">
        <f>F6+IF(AND($A6&gt;=Inputs!$B$21,$A6&lt;Inputs!$B$23),Inputs!$B$22,0)</f>
        <v>255000</v>
      </c>
      <c r="J6" s="6">
        <f>F6+(Inputs!$B$26/Inputs!$B$25)*(IF($A6&gt;=DATE(2026,10,31),290000,0)+IF($A6&gt;=DATE(2026,11,1),150000,0)+IF($A6&gt;=DATE(2026,11,4),520000,0))</f>
        <v>337500</v>
      </c>
      <c r="K6" s="6">
        <f>G6+IF($A6&gt;=Inputs!$B$21,Inputs!$B$20,0)-IF($A6&gt;=DATE(2026,12,4),Loan_Schedule!$B$4,0)-IF($A6&gt;=DATE(2027,1,4),Loan_Schedule!$B$4,0)</f>
        <v>235922.58333333331</v>
      </c>
      <c r="L6" s="6">
        <f>F6+IF($A6&gt;=Inputs!$B$21,Inputs!$B$20,0)-IF($A6&gt;=DATE(2026,11,30),Inputs!$B$20+Loan_Schedule!$B$7,0)</f>
        <v>255000</v>
      </c>
      <c r="M6" s="6">
        <f>G6+IF($A6&gt;=Inputs!$B$21,Inputs!$B$20,0)-IF($A6&gt;=DATE(2026,11,30),Inputs!$B$20+Loan_Schedule!$B$7,0)</f>
        <v>235922.58333333331</v>
      </c>
    </row>
    <row r="7" spans="1:15" x14ac:dyDescent="0.45">
      <c r="A7" s="3">
        <f>Forecast!A7</f>
        <v>46330</v>
      </c>
      <c r="B7" s="6">
        <f>SUMIFS(Outflows!$E$2:$E$18,Outflows!$B$2:$B$18,$A7,Outflows!$D$2:$D$18,"&lt;&gt;existing_emi_assumed")</f>
        <v>520000</v>
      </c>
      <c r="C7" s="6">
        <f>SUMIFS(Outflows!$E$2:$E$18,Outflows!$B$2:$B$18,$A7,Outflows!$D$2:$D$18,"existing_emi_assumed")</f>
        <v>0</v>
      </c>
      <c r="D7" s="6">
        <f>Forecast!I7</f>
        <v>120000</v>
      </c>
      <c r="E7" s="6">
        <f>Forecast!H7</f>
        <v>112351.125</v>
      </c>
      <c r="F7" s="6">
        <f t="shared" si="0"/>
        <v>-145000</v>
      </c>
      <c r="G7" s="6">
        <f t="shared" si="1"/>
        <v>-171726.29166666669</v>
      </c>
      <c r="H7" s="6">
        <f>F7+IF($A7&gt;=Inputs!$B$21,Inputs!$B$20,0)-IF($A7&gt;=DATE(2026,12,4),Loan_Schedule!$B$4,0)-IF($A7&gt;=DATE(2027,1,4),Loan_Schedule!$B$4,0)</f>
        <v>55000</v>
      </c>
      <c r="I7" s="6">
        <f>F7+IF(AND($A7&gt;=Inputs!$B$21,$A7&lt;Inputs!$B$23),Inputs!$B$22,0)</f>
        <v>55000</v>
      </c>
      <c r="J7" s="6">
        <f>F7+(Inputs!$B$26/Inputs!$B$25)*(IF($A7&gt;=DATE(2026,10,31),290000,0)+IF($A7&gt;=DATE(2026,11,1),150000,0)+IF($A7&gt;=DATE(2026,11,4),520000,0))</f>
        <v>35000</v>
      </c>
      <c r="K7" s="6">
        <f>G7+IF($A7&gt;=Inputs!$B$21,Inputs!$B$20,0)-IF($A7&gt;=DATE(2026,12,4),Loan_Schedule!$B$4,0)-IF($A7&gt;=DATE(2027,1,4),Loan_Schedule!$B$4,0)</f>
        <v>28273.708333333314</v>
      </c>
      <c r="L7" s="6">
        <f>F7+IF($A7&gt;=Inputs!$B$21,Inputs!$B$20,0)-IF($A7&gt;=DATE(2026,11,30),Inputs!$B$20+Loan_Schedule!$B$7,0)</f>
        <v>55000</v>
      </c>
      <c r="M7" s="6">
        <f>G7+IF($A7&gt;=Inputs!$B$21,Inputs!$B$20,0)-IF($A7&gt;=DATE(2026,11,30),Inputs!$B$20+Loan_Schedule!$B$7,0)</f>
        <v>28273.708333333314</v>
      </c>
    </row>
    <row r="8" spans="1:15" x14ac:dyDescent="0.45">
      <c r="A8" s="3">
        <f>Forecast!A8</f>
        <v>46331</v>
      </c>
      <c r="B8" s="6">
        <f>SUMIFS(Outflows!$E$2:$E$18,Outflows!$B$2:$B$18,$A8,Outflows!$D$2:$D$18,"&lt;&gt;existing_emi_assumed")</f>
        <v>159500</v>
      </c>
      <c r="C8" s="6">
        <f>SUMIFS(Outflows!$E$2:$E$18,Outflows!$B$2:$B$18,$A8,Outflows!$D$2:$D$18,"existing_emi_assumed")</f>
        <v>0</v>
      </c>
      <c r="D8" s="6">
        <f>Forecast!I8</f>
        <v>120000</v>
      </c>
      <c r="E8" s="6">
        <f>Forecast!H8</f>
        <v>115492.29999999999</v>
      </c>
      <c r="F8" s="6">
        <f t="shared" si="0"/>
        <v>-184500</v>
      </c>
      <c r="G8" s="6">
        <f t="shared" si="1"/>
        <v>-215733.9916666667</v>
      </c>
      <c r="H8" s="6">
        <f>F8+IF($A8&gt;=Inputs!$B$21,Inputs!$B$20,0)-IF($A8&gt;=DATE(2026,12,4),Loan_Schedule!$B$4,0)-IF($A8&gt;=DATE(2027,1,4),Loan_Schedule!$B$4,0)</f>
        <v>15500</v>
      </c>
      <c r="I8" s="6">
        <f>F8+IF(AND($A8&gt;=Inputs!$B$21,$A8&lt;Inputs!$B$23),Inputs!$B$22,0)</f>
        <v>15500</v>
      </c>
      <c r="J8" s="6">
        <f>F8+(Inputs!$B$26/Inputs!$B$25)*(IF($A8&gt;=DATE(2026,10,31),290000,0)+IF($A8&gt;=DATE(2026,11,1),150000,0)+IF($A8&gt;=DATE(2026,11,4),520000,0))</f>
        <v>-4500</v>
      </c>
      <c r="K8" s="6">
        <f>G8+IF($A8&gt;=Inputs!$B$21,Inputs!$B$20,0)-IF($A8&gt;=DATE(2026,12,4),Loan_Schedule!$B$4,0)-IF($A8&gt;=DATE(2027,1,4),Loan_Schedule!$B$4,0)</f>
        <v>-15733.991666666698</v>
      </c>
      <c r="L8" s="6">
        <f>F8+IF($A8&gt;=Inputs!$B$21,Inputs!$B$20,0)-IF($A8&gt;=DATE(2026,11,30),Inputs!$B$20+Loan_Schedule!$B$7,0)</f>
        <v>15500</v>
      </c>
      <c r="M8" s="6">
        <f>G8+IF($A8&gt;=Inputs!$B$21,Inputs!$B$20,0)-IF($A8&gt;=DATE(2026,11,30),Inputs!$B$20+Loan_Schedule!$B$7,0)</f>
        <v>-15733.991666666698</v>
      </c>
    </row>
    <row r="9" spans="1:15" x14ac:dyDescent="0.45">
      <c r="A9" s="3">
        <f>Forecast!A9</f>
        <v>46332</v>
      </c>
      <c r="B9" s="6">
        <f>SUMIFS(Outflows!$E$2:$E$18,Outflows!$B$2:$B$18,$A9,Outflows!$D$2:$D$18,"&lt;&gt;existing_emi_assumed")</f>
        <v>0</v>
      </c>
      <c r="C9" s="6">
        <f>SUMIFS(Outflows!$E$2:$E$18,Outflows!$B$2:$B$18,$A9,Outflows!$D$2:$D$18,"existing_emi_assumed")</f>
        <v>0</v>
      </c>
      <c r="D9" s="6">
        <f>Forecast!I9</f>
        <v>120000</v>
      </c>
      <c r="E9" s="6">
        <f>Forecast!H9</f>
        <v>118145.60000000001</v>
      </c>
      <c r="F9" s="6">
        <f t="shared" si="0"/>
        <v>-64500</v>
      </c>
      <c r="G9" s="6">
        <f t="shared" si="1"/>
        <v>-97588.391666666692</v>
      </c>
      <c r="H9" s="6">
        <f>F9+IF($A9&gt;=Inputs!$B$21,Inputs!$B$20,0)-IF($A9&gt;=DATE(2026,12,4),Loan_Schedule!$B$4,0)-IF($A9&gt;=DATE(2027,1,4),Loan_Schedule!$B$4,0)</f>
        <v>135500</v>
      </c>
      <c r="I9" s="6">
        <f>F9+IF(AND($A9&gt;=Inputs!$B$21,$A9&lt;Inputs!$B$23),Inputs!$B$22,0)</f>
        <v>135500</v>
      </c>
      <c r="J9" s="6">
        <f>F9+(Inputs!$B$26/Inputs!$B$25)*(IF($A9&gt;=DATE(2026,10,31),290000,0)+IF($A9&gt;=DATE(2026,11,1),150000,0)+IF($A9&gt;=DATE(2026,11,4),520000,0))</f>
        <v>115500</v>
      </c>
      <c r="K9" s="6">
        <f>G9+IF($A9&gt;=Inputs!$B$21,Inputs!$B$20,0)-IF($A9&gt;=DATE(2026,12,4),Loan_Schedule!$B$4,0)-IF($A9&gt;=DATE(2027,1,4),Loan_Schedule!$B$4,0)</f>
        <v>102411.60833333331</v>
      </c>
      <c r="L9" s="6">
        <f>F9+IF($A9&gt;=Inputs!$B$21,Inputs!$B$20,0)-IF($A9&gt;=DATE(2026,11,30),Inputs!$B$20+Loan_Schedule!$B$7,0)</f>
        <v>135500</v>
      </c>
      <c r="M9" s="6">
        <f>G9+IF($A9&gt;=Inputs!$B$21,Inputs!$B$20,0)-IF($A9&gt;=DATE(2026,11,30),Inputs!$B$20+Loan_Schedule!$B$7,0)</f>
        <v>102411.60833333331</v>
      </c>
    </row>
    <row r="10" spans="1:15" x14ac:dyDescent="0.45">
      <c r="A10" s="3">
        <f>Forecast!A10</f>
        <v>46333</v>
      </c>
      <c r="B10" s="6">
        <f>SUMIFS(Outflows!$E$2:$E$18,Outflows!$B$2:$B$18,$A10,Outflows!$D$2:$D$18,"&lt;&gt;existing_emi_assumed")</f>
        <v>0</v>
      </c>
      <c r="C10" s="6">
        <f>SUMIFS(Outflows!$E$2:$E$18,Outflows!$B$2:$B$18,$A10,Outflows!$D$2:$D$18,"existing_emi_assumed")</f>
        <v>0</v>
      </c>
      <c r="D10" s="6">
        <f>Forecast!I10</f>
        <v>120000</v>
      </c>
      <c r="E10" s="6">
        <f>Forecast!H10</f>
        <v>129073.875</v>
      </c>
      <c r="F10" s="6">
        <f t="shared" si="0"/>
        <v>55500</v>
      </c>
      <c r="G10" s="6">
        <f t="shared" si="1"/>
        <v>31485.483333333308</v>
      </c>
      <c r="H10" s="6">
        <f>F10+IF($A10&gt;=Inputs!$B$21,Inputs!$B$20,0)-IF($A10&gt;=DATE(2026,12,4),Loan_Schedule!$B$4,0)-IF($A10&gt;=DATE(2027,1,4),Loan_Schedule!$B$4,0)</f>
        <v>255500</v>
      </c>
      <c r="I10" s="6">
        <f>F10+IF(AND($A10&gt;=Inputs!$B$21,$A10&lt;Inputs!$B$23),Inputs!$B$22,0)</f>
        <v>255500</v>
      </c>
      <c r="J10" s="6">
        <f>F10+(Inputs!$B$26/Inputs!$B$25)*(IF($A10&gt;=DATE(2026,10,31),290000,0)+IF($A10&gt;=DATE(2026,11,1),150000,0)+IF($A10&gt;=DATE(2026,11,4),520000,0))</f>
        <v>235500</v>
      </c>
      <c r="K10" s="6">
        <f>G10+IF($A10&gt;=Inputs!$B$21,Inputs!$B$20,0)-IF($A10&gt;=DATE(2026,12,4),Loan_Schedule!$B$4,0)-IF($A10&gt;=DATE(2027,1,4),Loan_Schedule!$B$4,0)</f>
        <v>231485.48333333331</v>
      </c>
      <c r="L10" s="6">
        <f>F10+IF($A10&gt;=Inputs!$B$21,Inputs!$B$20,0)-IF($A10&gt;=DATE(2026,11,30),Inputs!$B$20+Loan_Schedule!$B$7,0)</f>
        <v>255500</v>
      </c>
      <c r="M10" s="6">
        <f>G10+IF($A10&gt;=Inputs!$B$21,Inputs!$B$20,0)-IF($A10&gt;=DATE(2026,11,30),Inputs!$B$20+Loan_Schedule!$B$7,0)</f>
        <v>231485.48333333331</v>
      </c>
    </row>
    <row r="11" spans="1:15" x14ac:dyDescent="0.45">
      <c r="A11" s="3">
        <f>Forecast!A11</f>
        <v>46334</v>
      </c>
      <c r="B11" s="6">
        <f>SUMIFS(Outflows!$E$2:$E$18,Outflows!$B$2:$B$18,$A11,Outflows!$D$2:$D$18,"&lt;&gt;existing_emi_assumed")</f>
        <v>0</v>
      </c>
      <c r="C11" s="6">
        <f>SUMIFS(Outflows!$E$2:$E$18,Outflows!$B$2:$B$18,$A11,Outflows!$D$2:$D$18,"existing_emi_assumed")</f>
        <v>0</v>
      </c>
      <c r="D11" s="6">
        <f>Forecast!I11</f>
        <v>120000</v>
      </c>
      <c r="E11" s="6">
        <f>Forecast!H11</f>
        <v>119973.15</v>
      </c>
      <c r="F11" s="6">
        <f t="shared" si="0"/>
        <v>175500</v>
      </c>
      <c r="G11" s="6">
        <f t="shared" si="1"/>
        <v>151458.6333333333</v>
      </c>
      <c r="H11" s="6">
        <f>F11+IF($A11&gt;=Inputs!$B$21,Inputs!$B$20,0)-IF($A11&gt;=DATE(2026,12,4),Loan_Schedule!$B$4,0)-IF($A11&gt;=DATE(2027,1,4),Loan_Schedule!$B$4,0)</f>
        <v>375500</v>
      </c>
      <c r="I11" s="6">
        <f>F11+IF(AND($A11&gt;=Inputs!$B$21,$A11&lt;Inputs!$B$23),Inputs!$B$22,0)</f>
        <v>375500</v>
      </c>
      <c r="J11" s="6">
        <f>F11+(Inputs!$B$26/Inputs!$B$25)*(IF($A11&gt;=DATE(2026,10,31),290000,0)+IF($A11&gt;=DATE(2026,11,1),150000,0)+IF($A11&gt;=DATE(2026,11,4),520000,0))</f>
        <v>355500</v>
      </c>
      <c r="K11" s="6">
        <f>G11+IF($A11&gt;=Inputs!$B$21,Inputs!$B$20,0)-IF($A11&gt;=DATE(2026,12,4),Loan_Schedule!$B$4,0)-IF($A11&gt;=DATE(2027,1,4),Loan_Schedule!$B$4,0)</f>
        <v>351458.6333333333</v>
      </c>
      <c r="L11" s="6">
        <f>F11+IF($A11&gt;=Inputs!$B$21,Inputs!$B$20,0)-IF($A11&gt;=DATE(2026,11,30),Inputs!$B$20+Loan_Schedule!$B$7,0)</f>
        <v>375500</v>
      </c>
      <c r="M11" s="6">
        <f>G11+IF($A11&gt;=Inputs!$B$21,Inputs!$B$20,0)-IF($A11&gt;=DATE(2026,11,30),Inputs!$B$20+Loan_Schedule!$B$7,0)</f>
        <v>351458.6333333333</v>
      </c>
    </row>
    <row r="12" spans="1:15" x14ac:dyDescent="0.45">
      <c r="A12" s="3">
        <f>Forecast!A12</f>
        <v>46335</v>
      </c>
      <c r="B12" s="6">
        <f>SUMIFS(Outflows!$E$2:$E$18,Outflows!$B$2:$B$18,$A12,Outflows!$D$2:$D$18,"&lt;&gt;existing_emi_assumed")</f>
        <v>0</v>
      </c>
      <c r="C12" s="6">
        <f>SUMIFS(Outflows!$E$2:$E$18,Outflows!$B$2:$B$18,$A12,Outflows!$D$2:$D$18,"existing_emi_assumed")</f>
        <v>0</v>
      </c>
      <c r="D12" s="6">
        <f>Forecast!I12</f>
        <v>70000</v>
      </c>
      <c r="E12" s="6">
        <f>Forecast!H12</f>
        <v>63994.666666666664</v>
      </c>
      <c r="F12" s="6">
        <f t="shared" si="0"/>
        <v>245500</v>
      </c>
      <c r="G12" s="6">
        <f t="shared" si="1"/>
        <v>215453.29999999996</v>
      </c>
      <c r="H12" s="6">
        <f>F12+IF($A12&gt;=Inputs!$B$21,Inputs!$B$20,0)-IF($A12&gt;=DATE(2026,12,4),Loan_Schedule!$B$4,0)-IF($A12&gt;=DATE(2027,1,4),Loan_Schedule!$B$4,0)</f>
        <v>445500</v>
      </c>
      <c r="I12" s="6">
        <f>F12+IF(AND($A12&gt;=Inputs!$B$21,$A12&lt;Inputs!$B$23),Inputs!$B$22,0)</f>
        <v>445500</v>
      </c>
      <c r="J12" s="6">
        <f>F12+(Inputs!$B$26/Inputs!$B$25)*(IF($A12&gt;=DATE(2026,10,31),290000,0)+IF($A12&gt;=DATE(2026,11,1),150000,0)+IF($A12&gt;=DATE(2026,11,4),520000,0))</f>
        <v>425500</v>
      </c>
      <c r="K12" s="6">
        <f>G12+IF($A12&gt;=Inputs!$B$21,Inputs!$B$20,0)-IF($A12&gt;=DATE(2026,12,4),Loan_Schedule!$B$4,0)-IF($A12&gt;=DATE(2027,1,4),Loan_Schedule!$B$4,0)</f>
        <v>415453.29999999993</v>
      </c>
      <c r="L12" s="6">
        <f>F12+IF($A12&gt;=Inputs!$B$21,Inputs!$B$20,0)-IF($A12&gt;=DATE(2026,11,30),Inputs!$B$20+Loan_Schedule!$B$7,0)</f>
        <v>445500</v>
      </c>
      <c r="M12" s="6">
        <f>G12+IF($A12&gt;=Inputs!$B$21,Inputs!$B$20,0)-IF($A12&gt;=DATE(2026,11,30),Inputs!$B$20+Loan_Schedule!$B$7,0)</f>
        <v>415453.29999999993</v>
      </c>
    </row>
    <row r="13" spans="1:15" x14ac:dyDescent="0.45">
      <c r="A13" s="3">
        <f>Forecast!A13</f>
        <v>46336</v>
      </c>
      <c r="B13" s="6">
        <f>SUMIFS(Outflows!$E$2:$E$18,Outflows!$B$2:$B$18,$A13,Outflows!$D$2:$D$18,"&lt;&gt;existing_emi_assumed")</f>
        <v>0</v>
      </c>
      <c r="C13" s="6">
        <f>SUMIFS(Outflows!$E$2:$E$18,Outflows!$B$2:$B$18,$A13,Outflows!$D$2:$D$18,"existing_emi_assumed")</f>
        <v>0</v>
      </c>
      <c r="D13" s="6">
        <f>Forecast!I13</f>
        <v>70000</v>
      </c>
      <c r="E13" s="6">
        <f>Forecast!H13</f>
        <v>66386.916666666672</v>
      </c>
      <c r="F13" s="6">
        <f t="shared" si="0"/>
        <v>315500</v>
      </c>
      <c r="G13" s="6">
        <f t="shared" si="1"/>
        <v>281840.21666666662</v>
      </c>
      <c r="H13" s="6">
        <f>F13+IF($A13&gt;=Inputs!$B$21,Inputs!$B$20,0)-IF($A13&gt;=DATE(2026,12,4),Loan_Schedule!$B$4,0)-IF($A13&gt;=DATE(2027,1,4),Loan_Schedule!$B$4,0)</f>
        <v>515500</v>
      </c>
      <c r="I13" s="6">
        <f>F13+IF(AND($A13&gt;=Inputs!$B$21,$A13&lt;Inputs!$B$23),Inputs!$B$22,0)</f>
        <v>515500</v>
      </c>
      <c r="J13" s="6">
        <f>F13+(Inputs!$B$26/Inputs!$B$25)*(IF($A13&gt;=DATE(2026,10,31),290000,0)+IF($A13&gt;=DATE(2026,11,1),150000,0)+IF($A13&gt;=DATE(2026,11,4),520000,0))</f>
        <v>495500</v>
      </c>
      <c r="K13" s="6">
        <f>G13+IF($A13&gt;=Inputs!$B$21,Inputs!$B$20,0)-IF($A13&gt;=DATE(2026,12,4),Loan_Schedule!$B$4,0)-IF($A13&gt;=DATE(2027,1,4),Loan_Schedule!$B$4,0)</f>
        <v>481840.21666666662</v>
      </c>
      <c r="L13" s="6">
        <f>F13+IF($A13&gt;=Inputs!$B$21,Inputs!$B$20,0)-IF($A13&gt;=DATE(2026,11,30),Inputs!$B$20+Loan_Schedule!$B$7,0)</f>
        <v>515500</v>
      </c>
      <c r="M13" s="6">
        <f>G13+IF($A13&gt;=Inputs!$B$21,Inputs!$B$20,0)-IF($A13&gt;=DATE(2026,11,30),Inputs!$B$20+Loan_Schedule!$B$7,0)</f>
        <v>481840.21666666662</v>
      </c>
    </row>
    <row r="14" spans="1:15" x14ac:dyDescent="0.45">
      <c r="A14" s="3">
        <f>Forecast!A14</f>
        <v>46337</v>
      </c>
      <c r="B14" s="6">
        <f>SUMIFS(Outflows!$E$2:$E$18,Outflows!$B$2:$B$18,$A14,Outflows!$D$2:$D$18,"&lt;&gt;existing_emi_assumed")</f>
        <v>0</v>
      </c>
      <c r="C14" s="6">
        <f>SUMIFS(Outflows!$E$2:$E$18,Outflows!$B$2:$B$18,$A14,Outflows!$D$2:$D$18,"existing_emi_assumed")</f>
        <v>0</v>
      </c>
      <c r="D14" s="6">
        <f>Forecast!I14</f>
        <v>70000</v>
      </c>
      <c r="E14" s="6">
        <f>Forecast!H14</f>
        <v>68091.583333333343</v>
      </c>
      <c r="F14" s="6">
        <f t="shared" si="0"/>
        <v>385500</v>
      </c>
      <c r="G14" s="6">
        <f t="shared" si="1"/>
        <v>349931.79999999993</v>
      </c>
      <c r="H14" s="6">
        <f>F14+IF($A14&gt;=Inputs!$B$21,Inputs!$B$20,0)-IF($A14&gt;=DATE(2026,12,4),Loan_Schedule!$B$4,0)-IF($A14&gt;=DATE(2027,1,4),Loan_Schedule!$B$4,0)</f>
        <v>585500</v>
      </c>
      <c r="I14" s="6">
        <f>F14+IF(AND($A14&gt;=Inputs!$B$21,$A14&lt;Inputs!$B$23),Inputs!$B$22,0)</f>
        <v>585500</v>
      </c>
      <c r="J14" s="6">
        <f>F14+(Inputs!$B$26/Inputs!$B$25)*(IF($A14&gt;=DATE(2026,10,31),290000,0)+IF($A14&gt;=DATE(2026,11,1),150000,0)+IF($A14&gt;=DATE(2026,11,4),520000,0))</f>
        <v>565500</v>
      </c>
      <c r="K14" s="6">
        <f>G14+IF($A14&gt;=Inputs!$B$21,Inputs!$B$20,0)-IF($A14&gt;=DATE(2026,12,4),Loan_Schedule!$B$4,0)-IF($A14&gt;=DATE(2027,1,4),Loan_Schedule!$B$4,0)</f>
        <v>549931.79999999993</v>
      </c>
      <c r="L14" s="6">
        <f>F14+IF($A14&gt;=Inputs!$B$21,Inputs!$B$20,0)-IF($A14&gt;=DATE(2026,11,30),Inputs!$B$20+Loan_Schedule!$B$7,0)</f>
        <v>585500</v>
      </c>
      <c r="M14" s="6">
        <f>G14+IF($A14&gt;=Inputs!$B$21,Inputs!$B$20,0)-IF($A14&gt;=DATE(2026,11,30),Inputs!$B$20+Loan_Schedule!$B$7,0)</f>
        <v>549931.79999999993</v>
      </c>
    </row>
    <row r="15" spans="1:15" x14ac:dyDescent="0.45">
      <c r="A15" s="3">
        <f>Forecast!A15</f>
        <v>46338</v>
      </c>
      <c r="B15" s="6">
        <f>SUMIFS(Outflows!$E$2:$E$18,Outflows!$B$2:$B$18,$A15,Outflows!$D$2:$D$18,"&lt;&gt;existing_emi_assumed")</f>
        <v>0</v>
      </c>
      <c r="C15" s="6">
        <f>SUMIFS(Outflows!$E$2:$E$18,Outflows!$B$2:$B$18,$A15,Outflows!$D$2:$D$18,"existing_emi_assumed")</f>
        <v>0</v>
      </c>
      <c r="D15" s="6">
        <f>Forecast!I15</f>
        <v>70000</v>
      </c>
      <c r="E15" s="6">
        <f>Forecast!H15</f>
        <v>69995.333333333328</v>
      </c>
      <c r="F15" s="6">
        <f t="shared" si="0"/>
        <v>455500</v>
      </c>
      <c r="G15" s="6">
        <f t="shared" si="1"/>
        <v>419927.13333333324</v>
      </c>
      <c r="H15" s="6">
        <f>F15+IF($A15&gt;=Inputs!$B$21,Inputs!$B$20,0)-IF($A15&gt;=DATE(2026,12,4),Loan_Schedule!$B$4,0)-IF($A15&gt;=DATE(2027,1,4),Loan_Schedule!$B$4,0)</f>
        <v>655500</v>
      </c>
      <c r="I15" s="6">
        <f>F15+IF(AND($A15&gt;=Inputs!$B$21,$A15&lt;Inputs!$B$23),Inputs!$B$22,0)</f>
        <v>655500</v>
      </c>
      <c r="J15" s="6">
        <f>F15+(Inputs!$B$26/Inputs!$B$25)*(IF($A15&gt;=DATE(2026,10,31),290000,0)+IF($A15&gt;=DATE(2026,11,1),150000,0)+IF($A15&gt;=DATE(2026,11,4),520000,0))</f>
        <v>635500</v>
      </c>
      <c r="K15" s="6">
        <f>G15+IF($A15&gt;=Inputs!$B$21,Inputs!$B$20,0)-IF($A15&gt;=DATE(2026,12,4),Loan_Schedule!$B$4,0)-IF($A15&gt;=DATE(2027,1,4),Loan_Schedule!$B$4,0)</f>
        <v>619927.1333333333</v>
      </c>
      <c r="L15" s="6">
        <f>F15+IF($A15&gt;=Inputs!$B$21,Inputs!$B$20,0)-IF($A15&gt;=DATE(2026,11,30),Inputs!$B$20+Loan_Schedule!$B$7,0)</f>
        <v>655500</v>
      </c>
      <c r="M15" s="6">
        <f>G15+IF($A15&gt;=Inputs!$B$21,Inputs!$B$20,0)-IF($A15&gt;=DATE(2026,11,30),Inputs!$B$20+Loan_Schedule!$B$7,0)</f>
        <v>619927.1333333333</v>
      </c>
    </row>
    <row r="16" spans="1:15" x14ac:dyDescent="0.45">
      <c r="A16" s="3">
        <f>Forecast!A16</f>
        <v>46339</v>
      </c>
      <c r="B16" s="6">
        <f>SUMIFS(Outflows!$E$2:$E$18,Outflows!$B$2:$B$18,$A16,Outflows!$D$2:$D$18,"&lt;&gt;existing_emi_assumed")</f>
        <v>0</v>
      </c>
      <c r="C16" s="6">
        <f>SUMIFS(Outflows!$E$2:$E$18,Outflows!$B$2:$B$18,$A16,Outflows!$D$2:$D$18,"existing_emi_assumed")</f>
        <v>0</v>
      </c>
      <c r="D16" s="6">
        <f>Forecast!I16</f>
        <v>70000</v>
      </c>
      <c r="E16" s="6">
        <f>Forecast!H16</f>
        <v>71603.416666666672</v>
      </c>
      <c r="F16" s="6">
        <f t="shared" si="0"/>
        <v>525500</v>
      </c>
      <c r="G16" s="6">
        <f t="shared" si="1"/>
        <v>491530.54999999993</v>
      </c>
      <c r="H16" s="6">
        <f>F16+IF($A16&gt;=Inputs!$B$21,Inputs!$B$20,0)-IF($A16&gt;=DATE(2026,12,4),Loan_Schedule!$B$4,0)-IF($A16&gt;=DATE(2027,1,4),Loan_Schedule!$B$4,0)</f>
        <v>725500</v>
      </c>
      <c r="I16" s="6">
        <f>F16+IF(AND($A16&gt;=Inputs!$B$21,$A16&lt;Inputs!$B$23),Inputs!$B$22,0)</f>
        <v>725500</v>
      </c>
      <c r="J16" s="6">
        <f>F16+(Inputs!$B$26/Inputs!$B$25)*(IF($A16&gt;=DATE(2026,10,31),290000,0)+IF($A16&gt;=DATE(2026,11,1),150000,0)+IF($A16&gt;=DATE(2026,11,4),520000,0))</f>
        <v>705500</v>
      </c>
      <c r="K16" s="6">
        <f>G16+IF($A16&gt;=Inputs!$B$21,Inputs!$B$20,0)-IF($A16&gt;=DATE(2026,12,4),Loan_Schedule!$B$4,0)-IF($A16&gt;=DATE(2027,1,4),Loan_Schedule!$B$4,0)</f>
        <v>691530.54999999993</v>
      </c>
      <c r="L16" s="6">
        <f>F16+IF($A16&gt;=Inputs!$B$21,Inputs!$B$20,0)-IF($A16&gt;=DATE(2026,11,30),Inputs!$B$20+Loan_Schedule!$B$7,0)</f>
        <v>725500</v>
      </c>
      <c r="M16" s="6">
        <f>G16+IF($A16&gt;=Inputs!$B$21,Inputs!$B$20,0)-IF($A16&gt;=DATE(2026,11,30),Inputs!$B$20+Loan_Schedule!$B$7,0)</f>
        <v>691530.54999999993</v>
      </c>
    </row>
    <row r="17" spans="1:13" x14ac:dyDescent="0.45">
      <c r="A17" s="3">
        <f>Forecast!A17</f>
        <v>46340</v>
      </c>
      <c r="B17" s="6">
        <f>SUMIFS(Outflows!$E$2:$E$18,Outflows!$B$2:$B$18,$A17,Outflows!$D$2:$D$18,"&lt;&gt;existing_emi_assumed")</f>
        <v>0</v>
      </c>
      <c r="C17" s="6">
        <f>SUMIFS(Outflows!$E$2:$E$18,Outflows!$B$2:$B$18,$A17,Outflows!$D$2:$D$18,"existing_emi_assumed")</f>
        <v>0</v>
      </c>
      <c r="D17" s="6">
        <f>Forecast!I17</f>
        <v>70000</v>
      </c>
      <c r="E17" s="6">
        <f>Forecast!H17</f>
        <v>78226.583333333343</v>
      </c>
      <c r="F17" s="6">
        <f t="shared" si="0"/>
        <v>595500</v>
      </c>
      <c r="G17" s="6">
        <f t="shared" si="1"/>
        <v>569757.1333333333</v>
      </c>
      <c r="H17" s="6">
        <f>F17+IF($A17&gt;=Inputs!$B$21,Inputs!$B$20,0)-IF($A17&gt;=DATE(2026,12,4),Loan_Schedule!$B$4,0)-IF($A17&gt;=DATE(2027,1,4),Loan_Schedule!$B$4,0)</f>
        <v>795500</v>
      </c>
      <c r="I17" s="6">
        <f>F17+IF(AND($A17&gt;=Inputs!$B$21,$A17&lt;Inputs!$B$23),Inputs!$B$22,0)</f>
        <v>795500</v>
      </c>
      <c r="J17" s="6">
        <f>F17+(Inputs!$B$26/Inputs!$B$25)*(IF($A17&gt;=DATE(2026,10,31),290000,0)+IF($A17&gt;=DATE(2026,11,1),150000,0)+IF($A17&gt;=DATE(2026,11,4),520000,0))</f>
        <v>775500</v>
      </c>
      <c r="K17" s="6">
        <f>G17+IF($A17&gt;=Inputs!$B$21,Inputs!$B$20,0)-IF($A17&gt;=DATE(2026,12,4),Loan_Schedule!$B$4,0)-IF($A17&gt;=DATE(2027,1,4),Loan_Schedule!$B$4,0)</f>
        <v>769757.1333333333</v>
      </c>
      <c r="L17" s="6">
        <f>F17+IF($A17&gt;=Inputs!$B$21,Inputs!$B$20,0)-IF($A17&gt;=DATE(2026,11,30),Inputs!$B$20+Loan_Schedule!$B$7,0)</f>
        <v>795500</v>
      </c>
      <c r="M17" s="6">
        <f>G17+IF($A17&gt;=Inputs!$B$21,Inputs!$B$20,0)-IF($A17&gt;=DATE(2026,11,30),Inputs!$B$20+Loan_Schedule!$B$7,0)</f>
        <v>769757.1333333333</v>
      </c>
    </row>
    <row r="18" spans="1:13" x14ac:dyDescent="0.45">
      <c r="A18" s="3">
        <f>Forecast!A18</f>
        <v>46341</v>
      </c>
      <c r="B18" s="6">
        <f>SUMIFS(Outflows!$E$2:$E$18,Outflows!$B$2:$B$18,$A18,Outflows!$D$2:$D$18,"&lt;&gt;existing_emi_assumed")</f>
        <v>0</v>
      </c>
      <c r="C18" s="6">
        <f>SUMIFS(Outflows!$E$2:$E$18,Outflows!$B$2:$B$18,$A18,Outflows!$D$2:$D$18,"existing_emi_assumed")</f>
        <v>0</v>
      </c>
      <c r="D18" s="6">
        <f>Forecast!I18</f>
        <v>70000</v>
      </c>
      <c r="E18" s="6">
        <f>Forecast!H18</f>
        <v>72711</v>
      </c>
      <c r="F18" s="6">
        <f t="shared" si="0"/>
        <v>665500</v>
      </c>
      <c r="G18" s="6">
        <f t="shared" si="1"/>
        <v>642468.1333333333</v>
      </c>
      <c r="H18" s="6">
        <f>F18+IF($A18&gt;=Inputs!$B$21,Inputs!$B$20,0)-IF($A18&gt;=DATE(2026,12,4),Loan_Schedule!$B$4,0)-IF($A18&gt;=DATE(2027,1,4),Loan_Schedule!$B$4,0)</f>
        <v>865500</v>
      </c>
      <c r="I18" s="6">
        <f>F18+IF(AND($A18&gt;=Inputs!$B$21,$A18&lt;Inputs!$B$23),Inputs!$B$22,0)</f>
        <v>865500</v>
      </c>
      <c r="J18" s="6">
        <f>F18+(Inputs!$B$26/Inputs!$B$25)*(IF($A18&gt;=DATE(2026,10,31),290000,0)+IF($A18&gt;=DATE(2026,11,1),150000,0)+IF($A18&gt;=DATE(2026,11,4),520000,0))</f>
        <v>845500</v>
      </c>
      <c r="K18" s="6">
        <f>G18+IF($A18&gt;=Inputs!$B$21,Inputs!$B$20,0)-IF($A18&gt;=DATE(2026,12,4),Loan_Schedule!$B$4,0)-IF($A18&gt;=DATE(2027,1,4),Loan_Schedule!$B$4,0)</f>
        <v>842468.1333333333</v>
      </c>
      <c r="L18" s="6">
        <f>F18+IF($A18&gt;=Inputs!$B$21,Inputs!$B$20,0)-IF($A18&gt;=DATE(2026,11,30),Inputs!$B$20+Loan_Schedule!$B$7,0)</f>
        <v>865500</v>
      </c>
      <c r="M18" s="6">
        <f>G18+IF($A18&gt;=Inputs!$B$21,Inputs!$B$20,0)-IF($A18&gt;=DATE(2026,11,30),Inputs!$B$20+Loan_Schedule!$B$7,0)</f>
        <v>842468.1333333333</v>
      </c>
    </row>
    <row r="19" spans="1:13" x14ac:dyDescent="0.45">
      <c r="A19" s="3">
        <f>Forecast!A19</f>
        <v>46342</v>
      </c>
      <c r="B19" s="6">
        <f>SUMIFS(Outflows!$E$2:$E$18,Outflows!$B$2:$B$18,$A19,Outflows!$D$2:$D$18,"&lt;&gt;existing_emi_assumed")</f>
        <v>0</v>
      </c>
      <c r="C19" s="6">
        <f>SUMIFS(Outflows!$E$2:$E$18,Outflows!$B$2:$B$18,$A19,Outflows!$D$2:$D$18,"existing_emi_assumed")</f>
        <v>0</v>
      </c>
      <c r="D19" s="6">
        <f>Forecast!I19</f>
        <v>70000</v>
      </c>
      <c r="E19" s="6">
        <f>Forecast!H19</f>
        <v>63994.666666666664</v>
      </c>
      <c r="F19" s="6">
        <f t="shared" si="0"/>
        <v>735500</v>
      </c>
      <c r="G19" s="6">
        <f t="shared" si="1"/>
        <v>706462.79999999993</v>
      </c>
      <c r="H19" s="6">
        <f>F19+IF($A19&gt;=Inputs!$B$21,Inputs!$B$20,0)-IF($A19&gt;=DATE(2026,12,4),Loan_Schedule!$B$4,0)-IF($A19&gt;=DATE(2027,1,4),Loan_Schedule!$B$4,0)</f>
        <v>935500</v>
      </c>
      <c r="I19" s="6">
        <f>F19+IF(AND($A19&gt;=Inputs!$B$21,$A19&lt;Inputs!$B$23),Inputs!$B$22,0)</f>
        <v>935500</v>
      </c>
      <c r="J19" s="6">
        <f>F19+(Inputs!$B$26/Inputs!$B$25)*(IF($A19&gt;=DATE(2026,10,31),290000,0)+IF($A19&gt;=DATE(2026,11,1),150000,0)+IF($A19&gt;=DATE(2026,11,4),520000,0))</f>
        <v>915500</v>
      </c>
      <c r="K19" s="6">
        <f>G19+IF($A19&gt;=Inputs!$B$21,Inputs!$B$20,0)-IF($A19&gt;=DATE(2026,12,4),Loan_Schedule!$B$4,0)-IF($A19&gt;=DATE(2027,1,4),Loan_Schedule!$B$4,0)</f>
        <v>906462.79999999993</v>
      </c>
      <c r="L19" s="6">
        <f>F19+IF($A19&gt;=Inputs!$B$21,Inputs!$B$20,0)-IF($A19&gt;=DATE(2026,11,30),Inputs!$B$20+Loan_Schedule!$B$7,0)</f>
        <v>935500</v>
      </c>
      <c r="M19" s="6">
        <f>G19+IF($A19&gt;=Inputs!$B$21,Inputs!$B$20,0)-IF($A19&gt;=DATE(2026,11,30),Inputs!$B$20+Loan_Schedule!$B$7,0)</f>
        <v>906462.79999999993</v>
      </c>
    </row>
    <row r="20" spans="1:13" x14ac:dyDescent="0.45">
      <c r="A20" s="3">
        <f>Forecast!A20</f>
        <v>46343</v>
      </c>
      <c r="B20" s="6">
        <f>SUMIFS(Outflows!$E$2:$E$18,Outflows!$B$2:$B$18,$A20,Outflows!$D$2:$D$18,"&lt;&gt;existing_emi_assumed")</f>
        <v>0</v>
      </c>
      <c r="C20" s="6">
        <f>SUMIFS(Outflows!$E$2:$E$18,Outflows!$B$2:$B$18,$A20,Outflows!$D$2:$D$18,"existing_emi_assumed")</f>
        <v>0</v>
      </c>
      <c r="D20" s="6">
        <f>Forecast!I20</f>
        <v>70000</v>
      </c>
      <c r="E20" s="6">
        <f>Forecast!H20</f>
        <v>66386.916666666672</v>
      </c>
      <c r="F20" s="6">
        <f t="shared" si="0"/>
        <v>805500</v>
      </c>
      <c r="G20" s="6">
        <f t="shared" si="1"/>
        <v>772849.71666666656</v>
      </c>
      <c r="H20" s="6">
        <f>F20+IF($A20&gt;=Inputs!$B$21,Inputs!$B$20,0)-IF($A20&gt;=DATE(2026,12,4),Loan_Schedule!$B$4,0)-IF($A20&gt;=DATE(2027,1,4),Loan_Schedule!$B$4,0)</f>
        <v>1005500</v>
      </c>
      <c r="I20" s="6">
        <f>F20+IF(AND($A20&gt;=Inputs!$B$21,$A20&lt;Inputs!$B$23),Inputs!$B$22,0)</f>
        <v>1005500</v>
      </c>
      <c r="J20" s="6">
        <f>F20+(Inputs!$B$26/Inputs!$B$25)*(IF($A20&gt;=DATE(2026,10,31),290000,0)+IF($A20&gt;=DATE(2026,11,1),150000,0)+IF($A20&gt;=DATE(2026,11,4),520000,0))</f>
        <v>985500</v>
      </c>
      <c r="K20" s="6">
        <f>G20+IF($A20&gt;=Inputs!$B$21,Inputs!$B$20,0)-IF($A20&gt;=DATE(2026,12,4),Loan_Schedule!$B$4,0)-IF($A20&gt;=DATE(2027,1,4),Loan_Schedule!$B$4,0)</f>
        <v>972849.71666666656</v>
      </c>
      <c r="L20" s="6">
        <f>F20+IF($A20&gt;=Inputs!$B$21,Inputs!$B$20,0)-IF($A20&gt;=DATE(2026,11,30),Inputs!$B$20+Loan_Schedule!$B$7,0)</f>
        <v>1005500</v>
      </c>
      <c r="M20" s="6">
        <f>G20+IF($A20&gt;=Inputs!$B$21,Inputs!$B$20,0)-IF($A20&gt;=DATE(2026,11,30),Inputs!$B$20+Loan_Schedule!$B$7,0)</f>
        <v>972849.71666666656</v>
      </c>
    </row>
    <row r="21" spans="1:13" x14ac:dyDescent="0.45">
      <c r="A21" s="3">
        <f>Forecast!A21</f>
        <v>46344</v>
      </c>
      <c r="B21" s="6">
        <f>SUMIFS(Outflows!$E$2:$E$18,Outflows!$B$2:$B$18,$A21,Outflows!$D$2:$D$18,"&lt;&gt;existing_emi_assumed")</f>
        <v>0</v>
      </c>
      <c r="C21" s="6">
        <f>SUMIFS(Outflows!$E$2:$E$18,Outflows!$B$2:$B$18,$A21,Outflows!$D$2:$D$18,"existing_emi_assumed")</f>
        <v>0</v>
      </c>
      <c r="D21" s="6">
        <f>Forecast!I21</f>
        <v>70000</v>
      </c>
      <c r="E21" s="6">
        <f>Forecast!H21</f>
        <v>68091.583333333343</v>
      </c>
      <c r="F21" s="6">
        <f t="shared" si="0"/>
        <v>875500</v>
      </c>
      <c r="G21" s="6">
        <f t="shared" si="1"/>
        <v>840941.29999999993</v>
      </c>
      <c r="H21" s="6">
        <f>F21+IF($A21&gt;=Inputs!$B$21,Inputs!$B$20,0)-IF($A21&gt;=DATE(2026,12,4),Loan_Schedule!$B$4,0)-IF($A21&gt;=DATE(2027,1,4),Loan_Schedule!$B$4,0)</f>
        <v>1075500</v>
      </c>
      <c r="I21" s="6">
        <f>F21+IF(AND($A21&gt;=Inputs!$B$21,$A21&lt;Inputs!$B$23),Inputs!$B$22,0)</f>
        <v>1075500</v>
      </c>
      <c r="J21" s="6">
        <f>F21+(Inputs!$B$26/Inputs!$B$25)*(IF($A21&gt;=DATE(2026,10,31),290000,0)+IF($A21&gt;=DATE(2026,11,1),150000,0)+IF($A21&gt;=DATE(2026,11,4),520000,0))</f>
        <v>1055500</v>
      </c>
      <c r="K21" s="6">
        <f>G21+IF($A21&gt;=Inputs!$B$21,Inputs!$B$20,0)-IF($A21&gt;=DATE(2026,12,4),Loan_Schedule!$B$4,0)-IF($A21&gt;=DATE(2027,1,4),Loan_Schedule!$B$4,0)</f>
        <v>1040941.2999999999</v>
      </c>
      <c r="L21" s="6">
        <f>F21+IF($A21&gt;=Inputs!$B$21,Inputs!$B$20,0)-IF($A21&gt;=DATE(2026,11,30),Inputs!$B$20+Loan_Schedule!$B$7,0)</f>
        <v>1075500</v>
      </c>
      <c r="M21" s="6">
        <f>G21+IF($A21&gt;=Inputs!$B$21,Inputs!$B$20,0)-IF($A21&gt;=DATE(2026,11,30),Inputs!$B$20+Loan_Schedule!$B$7,0)</f>
        <v>1040941.2999999999</v>
      </c>
    </row>
    <row r="22" spans="1:13" x14ac:dyDescent="0.45">
      <c r="A22" s="3">
        <f>Forecast!A22</f>
        <v>46345</v>
      </c>
      <c r="B22" s="6">
        <f>SUMIFS(Outflows!$E$2:$E$18,Outflows!$B$2:$B$18,$A22,Outflows!$D$2:$D$18,"&lt;&gt;existing_emi_assumed")</f>
        <v>0</v>
      </c>
      <c r="C22" s="6">
        <f>SUMIFS(Outflows!$E$2:$E$18,Outflows!$B$2:$B$18,$A22,Outflows!$D$2:$D$18,"existing_emi_assumed")</f>
        <v>0</v>
      </c>
      <c r="D22" s="6">
        <f>Forecast!I22</f>
        <v>70000</v>
      </c>
      <c r="E22" s="6">
        <f>Forecast!H22</f>
        <v>69995.333333333328</v>
      </c>
      <c r="F22" s="6">
        <f t="shared" si="0"/>
        <v>945500</v>
      </c>
      <c r="G22" s="6">
        <f t="shared" si="1"/>
        <v>910936.6333333333</v>
      </c>
      <c r="H22" s="6">
        <f>F22+IF($A22&gt;=Inputs!$B$21,Inputs!$B$20,0)-IF($A22&gt;=DATE(2026,12,4),Loan_Schedule!$B$4,0)-IF($A22&gt;=DATE(2027,1,4),Loan_Schedule!$B$4,0)</f>
        <v>1145500</v>
      </c>
      <c r="I22" s="6">
        <f>F22+IF(AND($A22&gt;=Inputs!$B$21,$A22&lt;Inputs!$B$23),Inputs!$B$22,0)</f>
        <v>945500</v>
      </c>
      <c r="J22" s="6">
        <f>F22+(Inputs!$B$26/Inputs!$B$25)*(IF($A22&gt;=DATE(2026,10,31),290000,0)+IF($A22&gt;=DATE(2026,11,1),150000,0)+IF($A22&gt;=DATE(2026,11,4),520000,0))</f>
        <v>1125500</v>
      </c>
      <c r="K22" s="6">
        <f>G22+IF($A22&gt;=Inputs!$B$21,Inputs!$B$20,0)-IF($A22&gt;=DATE(2026,12,4),Loan_Schedule!$B$4,0)-IF($A22&gt;=DATE(2027,1,4),Loan_Schedule!$B$4,0)</f>
        <v>1110936.6333333333</v>
      </c>
      <c r="L22" s="6">
        <f>F22+IF($A22&gt;=Inputs!$B$21,Inputs!$B$20,0)-IF($A22&gt;=DATE(2026,11,30),Inputs!$B$20+Loan_Schedule!$B$7,0)</f>
        <v>1145500</v>
      </c>
      <c r="M22" s="6">
        <f>G22+IF($A22&gt;=Inputs!$B$21,Inputs!$B$20,0)-IF($A22&gt;=DATE(2026,11,30),Inputs!$B$20+Loan_Schedule!$B$7,0)</f>
        <v>1110936.6333333333</v>
      </c>
    </row>
    <row r="23" spans="1:13" x14ac:dyDescent="0.45">
      <c r="A23" s="3">
        <f>Forecast!A23</f>
        <v>46346</v>
      </c>
      <c r="B23" s="6">
        <f>SUMIFS(Outflows!$E$2:$E$18,Outflows!$B$2:$B$18,$A23,Outflows!$D$2:$D$18,"&lt;&gt;existing_emi_assumed")</f>
        <v>42000</v>
      </c>
      <c r="C23" s="6">
        <f>SUMIFS(Outflows!$E$2:$E$18,Outflows!$B$2:$B$18,$A23,Outflows!$D$2:$D$18,"existing_emi_assumed")</f>
        <v>0</v>
      </c>
      <c r="D23" s="6">
        <f>Forecast!I23</f>
        <v>70000</v>
      </c>
      <c r="E23" s="6">
        <f>Forecast!H23</f>
        <v>71603.416666666672</v>
      </c>
      <c r="F23" s="6">
        <f t="shared" si="0"/>
        <v>973500</v>
      </c>
      <c r="G23" s="6">
        <f t="shared" si="1"/>
        <v>940540.04999999993</v>
      </c>
      <c r="H23" s="6">
        <f>F23+IF($A23&gt;=Inputs!$B$21,Inputs!$B$20,0)-IF($A23&gt;=DATE(2026,12,4),Loan_Schedule!$B$4,0)-IF($A23&gt;=DATE(2027,1,4),Loan_Schedule!$B$4,0)</f>
        <v>1173500</v>
      </c>
      <c r="I23" s="6">
        <f>F23+IF(AND($A23&gt;=Inputs!$B$21,$A23&lt;Inputs!$B$23),Inputs!$B$22,0)</f>
        <v>973500</v>
      </c>
      <c r="J23" s="6">
        <f>F23+(Inputs!$B$26/Inputs!$B$25)*(IF($A23&gt;=DATE(2026,10,31),290000,0)+IF($A23&gt;=DATE(2026,11,1),150000,0)+IF($A23&gt;=DATE(2026,11,4),520000,0))</f>
        <v>1153500</v>
      </c>
      <c r="K23" s="6">
        <f>G23+IF($A23&gt;=Inputs!$B$21,Inputs!$B$20,0)-IF($A23&gt;=DATE(2026,12,4),Loan_Schedule!$B$4,0)-IF($A23&gt;=DATE(2027,1,4),Loan_Schedule!$B$4,0)</f>
        <v>1140540.0499999998</v>
      </c>
      <c r="L23" s="6">
        <f>F23+IF($A23&gt;=Inputs!$B$21,Inputs!$B$20,0)-IF($A23&gt;=DATE(2026,11,30),Inputs!$B$20+Loan_Schedule!$B$7,0)</f>
        <v>1173500</v>
      </c>
      <c r="M23" s="6">
        <f>G23+IF($A23&gt;=Inputs!$B$21,Inputs!$B$20,0)-IF($A23&gt;=DATE(2026,11,30),Inputs!$B$20+Loan_Schedule!$B$7,0)</f>
        <v>1140540.0499999998</v>
      </c>
    </row>
    <row r="24" spans="1:13" x14ac:dyDescent="0.45">
      <c r="A24" s="3">
        <f>Forecast!A24</f>
        <v>46347</v>
      </c>
      <c r="B24" s="6">
        <f>SUMIFS(Outflows!$E$2:$E$18,Outflows!$B$2:$B$18,$A24,Outflows!$D$2:$D$18,"&lt;&gt;existing_emi_assumed")</f>
        <v>0</v>
      </c>
      <c r="C24" s="6">
        <f>SUMIFS(Outflows!$E$2:$E$18,Outflows!$B$2:$B$18,$A24,Outflows!$D$2:$D$18,"existing_emi_assumed")</f>
        <v>0</v>
      </c>
      <c r="D24" s="6">
        <f>Forecast!I24</f>
        <v>70000</v>
      </c>
      <c r="E24" s="6">
        <f>Forecast!H24</f>
        <v>78226.583333333343</v>
      </c>
      <c r="F24" s="6">
        <f t="shared" si="0"/>
        <v>1043500</v>
      </c>
      <c r="G24" s="6">
        <f t="shared" si="1"/>
        <v>1018766.6333333333</v>
      </c>
      <c r="H24" s="6">
        <f>F24+IF($A24&gt;=Inputs!$B$21,Inputs!$B$20,0)-IF($A24&gt;=DATE(2026,12,4),Loan_Schedule!$B$4,0)-IF($A24&gt;=DATE(2027,1,4),Loan_Schedule!$B$4,0)</f>
        <v>1243500</v>
      </c>
      <c r="I24" s="6">
        <f>F24+IF(AND($A24&gt;=Inputs!$B$21,$A24&lt;Inputs!$B$23),Inputs!$B$22,0)</f>
        <v>1043500</v>
      </c>
      <c r="J24" s="6">
        <f>F24+(Inputs!$B$26/Inputs!$B$25)*(IF($A24&gt;=DATE(2026,10,31),290000,0)+IF($A24&gt;=DATE(2026,11,1),150000,0)+IF($A24&gt;=DATE(2026,11,4),520000,0))</f>
        <v>1223500</v>
      </c>
      <c r="K24" s="6">
        <f>G24+IF($A24&gt;=Inputs!$B$21,Inputs!$B$20,0)-IF($A24&gt;=DATE(2026,12,4),Loan_Schedule!$B$4,0)-IF($A24&gt;=DATE(2027,1,4),Loan_Schedule!$B$4,0)</f>
        <v>1218766.6333333333</v>
      </c>
      <c r="L24" s="6">
        <f>F24+IF($A24&gt;=Inputs!$B$21,Inputs!$B$20,0)-IF($A24&gt;=DATE(2026,11,30),Inputs!$B$20+Loan_Schedule!$B$7,0)</f>
        <v>1243500</v>
      </c>
      <c r="M24" s="6">
        <f>G24+IF($A24&gt;=Inputs!$B$21,Inputs!$B$20,0)-IF($A24&gt;=DATE(2026,11,30),Inputs!$B$20+Loan_Schedule!$B$7,0)</f>
        <v>1218766.6333333333</v>
      </c>
    </row>
    <row r="25" spans="1:13" x14ac:dyDescent="0.45">
      <c r="A25" s="3">
        <f>Forecast!A25</f>
        <v>46348</v>
      </c>
      <c r="B25" s="6">
        <f>SUMIFS(Outflows!$E$2:$E$18,Outflows!$B$2:$B$18,$A25,Outflows!$D$2:$D$18,"&lt;&gt;existing_emi_assumed")</f>
        <v>0</v>
      </c>
      <c r="C25" s="6">
        <f>SUMIFS(Outflows!$E$2:$E$18,Outflows!$B$2:$B$18,$A25,Outflows!$D$2:$D$18,"existing_emi_assumed")</f>
        <v>0</v>
      </c>
      <c r="D25" s="6">
        <f>Forecast!I25</f>
        <v>70000</v>
      </c>
      <c r="E25" s="6">
        <f>Forecast!H25</f>
        <v>72711</v>
      </c>
      <c r="F25" s="6">
        <f t="shared" si="0"/>
        <v>1113500</v>
      </c>
      <c r="G25" s="6">
        <f t="shared" si="1"/>
        <v>1091477.6333333333</v>
      </c>
      <c r="H25" s="6">
        <f>F25+IF($A25&gt;=Inputs!$B$21,Inputs!$B$20,0)-IF($A25&gt;=DATE(2026,12,4),Loan_Schedule!$B$4,0)-IF($A25&gt;=DATE(2027,1,4),Loan_Schedule!$B$4,0)</f>
        <v>1313500</v>
      </c>
      <c r="I25" s="6">
        <f>F25+IF(AND($A25&gt;=Inputs!$B$21,$A25&lt;Inputs!$B$23),Inputs!$B$22,0)</f>
        <v>1113500</v>
      </c>
      <c r="J25" s="6">
        <f>F25+(Inputs!$B$26/Inputs!$B$25)*(IF($A25&gt;=DATE(2026,10,31),290000,0)+IF($A25&gt;=DATE(2026,11,1),150000,0)+IF($A25&gt;=DATE(2026,11,4),520000,0))</f>
        <v>1293500</v>
      </c>
      <c r="K25" s="6">
        <f>G25+IF($A25&gt;=Inputs!$B$21,Inputs!$B$20,0)-IF($A25&gt;=DATE(2026,12,4),Loan_Schedule!$B$4,0)-IF($A25&gt;=DATE(2027,1,4),Loan_Schedule!$B$4,0)</f>
        <v>1291477.6333333333</v>
      </c>
      <c r="L25" s="6">
        <f>F25+IF($A25&gt;=Inputs!$B$21,Inputs!$B$20,0)-IF($A25&gt;=DATE(2026,11,30),Inputs!$B$20+Loan_Schedule!$B$7,0)</f>
        <v>1313500</v>
      </c>
      <c r="M25" s="6">
        <f>G25+IF($A25&gt;=Inputs!$B$21,Inputs!$B$20,0)-IF($A25&gt;=DATE(2026,11,30),Inputs!$B$20+Loan_Schedule!$B$7,0)</f>
        <v>1291477.6333333333</v>
      </c>
    </row>
    <row r="26" spans="1:13" x14ac:dyDescent="0.45">
      <c r="A26" s="3">
        <f>Forecast!A26</f>
        <v>46349</v>
      </c>
      <c r="B26" s="6">
        <f>SUMIFS(Outflows!$E$2:$E$18,Outflows!$B$2:$B$18,$A26,Outflows!$D$2:$D$18,"&lt;&gt;existing_emi_assumed")</f>
        <v>0</v>
      </c>
      <c r="C26" s="6">
        <f>SUMIFS(Outflows!$E$2:$E$18,Outflows!$B$2:$B$18,$A26,Outflows!$D$2:$D$18,"existing_emi_assumed")</f>
        <v>0</v>
      </c>
      <c r="D26" s="6">
        <f>Forecast!I26</f>
        <v>70000</v>
      </c>
      <c r="E26" s="6">
        <f>Forecast!H26</f>
        <v>63994.666666666664</v>
      </c>
      <c r="F26" s="6">
        <f t="shared" si="0"/>
        <v>1183500</v>
      </c>
      <c r="G26" s="6">
        <f t="shared" si="1"/>
        <v>1155472.3</v>
      </c>
      <c r="H26" s="6">
        <f>F26+IF($A26&gt;=Inputs!$B$21,Inputs!$B$20,0)-IF($A26&gt;=DATE(2026,12,4),Loan_Schedule!$B$4,0)-IF($A26&gt;=DATE(2027,1,4),Loan_Schedule!$B$4,0)</f>
        <v>1383500</v>
      </c>
      <c r="I26" s="6">
        <f>F26+IF(AND($A26&gt;=Inputs!$B$21,$A26&lt;Inputs!$B$23),Inputs!$B$22,0)</f>
        <v>1183500</v>
      </c>
      <c r="J26" s="6">
        <f>F26+(Inputs!$B$26/Inputs!$B$25)*(IF($A26&gt;=DATE(2026,10,31),290000,0)+IF($A26&gt;=DATE(2026,11,1),150000,0)+IF($A26&gt;=DATE(2026,11,4),520000,0))</f>
        <v>1363500</v>
      </c>
      <c r="K26" s="6">
        <f>G26+IF($A26&gt;=Inputs!$B$21,Inputs!$B$20,0)-IF($A26&gt;=DATE(2026,12,4),Loan_Schedule!$B$4,0)-IF($A26&gt;=DATE(2027,1,4),Loan_Schedule!$B$4,0)</f>
        <v>1355472.3</v>
      </c>
      <c r="L26" s="6">
        <f>F26+IF($A26&gt;=Inputs!$B$21,Inputs!$B$20,0)-IF($A26&gt;=DATE(2026,11,30),Inputs!$B$20+Loan_Schedule!$B$7,0)</f>
        <v>1383500</v>
      </c>
      <c r="M26" s="6">
        <f>G26+IF($A26&gt;=Inputs!$B$21,Inputs!$B$20,0)-IF($A26&gt;=DATE(2026,11,30),Inputs!$B$20+Loan_Schedule!$B$7,0)</f>
        <v>1355472.3</v>
      </c>
    </row>
    <row r="27" spans="1:13" x14ac:dyDescent="0.45">
      <c r="A27" s="3">
        <f>Forecast!A27</f>
        <v>46350</v>
      </c>
      <c r="B27" s="6">
        <f>SUMIFS(Outflows!$E$2:$E$18,Outflows!$B$2:$B$18,$A27,Outflows!$D$2:$D$18,"&lt;&gt;existing_emi_assumed")</f>
        <v>0</v>
      </c>
      <c r="C27" s="6">
        <f>SUMIFS(Outflows!$E$2:$E$18,Outflows!$B$2:$B$18,$A27,Outflows!$D$2:$D$18,"existing_emi_assumed")</f>
        <v>0</v>
      </c>
      <c r="D27" s="6">
        <f>Forecast!I27</f>
        <v>70000</v>
      </c>
      <c r="E27" s="6">
        <f>Forecast!H27</f>
        <v>66386.916666666672</v>
      </c>
      <c r="F27" s="6">
        <f t="shared" si="0"/>
        <v>1253500</v>
      </c>
      <c r="G27" s="6">
        <f t="shared" si="1"/>
        <v>1221859.2166666668</v>
      </c>
      <c r="H27" s="6">
        <f>F27+IF($A27&gt;=Inputs!$B$21,Inputs!$B$20,0)-IF($A27&gt;=DATE(2026,12,4),Loan_Schedule!$B$4,0)-IF($A27&gt;=DATE(2027,1,4),Loan_Schedule!$B$4,0)</f>
        <v>1453500</v>
      </c>
      <c r="I27" s="6">
        <f>F27+IF(AND($A27&gt;=Inputs!$B$21,$A27&lt;Inputs!$B$23),Inputs!$B$22,0)</f>
        <v>1253500</v>
      </c>
      <c r="J27" s="6">
        <f>F27+(Inputs!$B$26/Inputs!$B$25)*(IF($A27&gt;=DATE(2026,10,31),290000,0)+IF($A27&gt;=DATE(2026,11,1),150000,0)+IF($A27&gt;=DATE(2026,11,4),520000,0))</f>
        <v>1433500</v>
      </c>
      <c r="K27" s="6">
        <f>G27+IF($A27&gt;=Inputs!$B$21,Inputs!$B$20,0)-IF($A27&gt;=DATE(2026,12,4),Loan_Schedule!$B$4,0)-IF($A27&gt;=DATE(2027,1,4),Loan_Schedule!$B$4,0)</f>
        <v>1421859.2166666668</v>
      </c>
      <c r="L27" s="6">
        <f>F27+IF($A27&gt;=Inputs!$B$21,Inputs!$B$20,0)-IF($A27&gt;=DATE(2026,11,30),Inputs!$B$20+Loan_Schedule!$B$7,0)</f>
        <v>1453500</v>
      </c>
      <c r="M27" s="6">
        <f>G27+IF($A27&gt;=Inputs!$B$21,Inputs!$B$20,0)-IF($A27&gt;=DATE(2026,11,30),Inputs!$B$20+Loan_Schedule!$B$7,0)</f>
        <v>1421859.2166666668</v>
      </c>
    </row>
    <row r="28" spans="1:13" x14ac:dyDescent="0.45">
      <c r="A28" s="3">
        <f>Forecast!A28</f>
        <v>46351</v>
      </c>
      <c r="B28" s="6">
        <f>SUMIFS(Outflows!$E$2:$E$18,Outflows!$B$2:$B$18,$A28,Outflows!$D$2:$D$18,"&lt;&gt;existing_emi_assumed")</f>
        <v>0</v>
      </c>
      <c r="C28" s="6">
        <f>SUMIFS(Outflows!$E$2:$E$18,Outflows!$B$2:$B$18,$A28,Outflows!$D$2:$D$18,"existing_emi_assumed")</f>
        <v>0</v>
      </c>
      <c r="D28" s="6">
        <f>Forecast!I28</f>
        <v>70000</v>
      </c>
      <c r="E28" s="6">
        <f>Forecast!H28</f>
        <v>68091.583333333343</v>
      </c>
      <c r="F28" s="6">
        <f t="shared" si="0"/>
        <v>1323500</v>
      </c>
      <c r="G28" s="6">
        <f t="shared" si="1"/>
        <v>1289950.8</v>
      </c>
      <c r="H28" s="6">
        <f>F28+IF($A28&gt;=Inputs!$B$21,Inputs!$B$20,0)-IF($A28&gt;=DATE(2026,12,4),Loan_Schedule!$B$4,0)-IF($A28&gt;=DATE(2027,1,4),Loan_Schedule!$B$4,0)</f>
        <v>1523500</v>
      </c>
      <c r="I28" s="6">
        <f>F28+IF(AND($A28&gt;=Inputs!$B$21,$A28&lt;Inputs!$B$23),Inputs!$B$22,0)</f>
        <v>1323500</v>
      </c>
      <c r="J28" s="6">
        <f>F28+(Inputs!$B$26/Inputs!$B$25)*(IF($A28&gt;=DATE(2026,10,31),290000,0)+IF($A28&gt;=DATE(2026,11,1),150000,0)+IF($A28&gt;=DATE(2026,11,4),520000,0))</f>
        <v>1503500</v>
      </c>
      <c r="K28" s="6">
        <f>G28+IF($A28&gt;=Inputs!$B$21,Inputs!$B$20,0)-IF($A28&gt;=DATE(2026,12,4),Loan_Schedule!$B$4,0)-IF($A28&gt;=DATE(2027,1,4),Loan_Schedule!$B$4,0)</f>
        <v>1489950.8</v>
      </c>
      <c r="L28" s="6">
        <f>F28+IF($A28&gt;=Inputs!$B$21,Inputs!$B$20,0)-IF($A28&gt;=DATE(2026,11,30),Inputs!$B$20+Loan_Schedule!$B$7,0)</f>
        <v>1523500</v>
      </c>
      <c r="M28" s="6">
        <f>G28+IF($A28&gt;=Inputs!$B$21,Inputs!$B$20,0)-IF($A28&gt;=DATE(2026,11,30),Inputs!$B$20+Loan_Schedule!$B$7,0)</f>
        <v>1489950.8</v>
      </c>
    </row>
    <row r="29" spans="1:13" x14ac:dyDescent="0.45">
      <c r="A29" s="3">
        <f>Forecast!A29</f>
        <v>46352</v>
      </c>
      <c r="B29" s="6">
        <f>SUMIFS(Outflows!$E$2:$E$18,Outflows!$B$2:$B$18,$A29,Outflows!$D$2:$D$18,"&lt;&gt;existing_emi_assumed")</f>
        <v>0</v>
      </c>
      <c r="C29" s="6">
        <f>SUMIFS(Outflows!$E$2:$E$18,Outflows!$B$2:$B$18,$A29,Outflows!$D$2:$D$18,"existing_emi_assumed")</f>
        <v>0</v>
      </c>
      <c r="D29" s="6">
        <f>Forecast!I29</f>
        <v>70000</v>
      </c>
      <c r="E29" s="6">
        <f>Forecast!H29</f>
        <v>69995.333333333328</v>
      </c>
      <c r="F29" s="6">
        <f t="shared" si="0"/>
        <v>1393500</v>
      </c>
      <c r="G29" s="6">
        <f t="shared" si="1"/>
        <v>1359946.1333333333</v>
      </c>
      <c r="H29" s="6">
        <f>F29+IF($A29&gt;=Inputs!$B$21,Inputs!$B$20,0)-IF($A29&gt;=DATE(2026,12,4),Loan_Schedule!$B$4,0)-IF($A29&gt;=DATE(2027,1,4),Loan_Schedule!$B$4,0)</f>
        <v>1593500</v>
      </c>
      <c r="I29" s="6">
        <f>F29+IF(AND($A29&gt;=Inputs!$B$21,$A29&lt;Inputs!$B$23),Inputs!$B$22,0)</f>
        <v>1393500</v>
      </c>
      <c r="J29" s="6">
        <f>F29+(Inputs!$B$26/Inputs!$B$25)*(IF($A29&gt;=DATE(2026,10,31),290000,0)+IF($A29&gt;=DATE(2026,11,1),150000,0)+IF($A29&gt;=DATE(2026,11,4),520000,0))</f>
        <v>1573500</v>
      </c>
      <c r="K29" s="6">
        <f>G29+IF($A29&gt;=Inputs!$B$21,Inputs!$B$20,0)-IF($A29&gt;=DATE(2026,12,4),Loan_Schedule!$B$4,0)-IF($A29&gt;=DATE(2027,1,4),Loan_Schedule!$B$4,0)</f>
        <v>1559946.1333333333</v>
      </c>
      <c r="L29" s="6">
        <f>F29+IF($A29&gt;=Inputs!$B$21,Inputs!$B$20,0)-IF($A29&gt;=DATE(2026,11,30),Inputs!$B$20+Loan_Schedule!$B$7,0)</f>
        <v>1593500</v>
      </c>
      <c r="M29" s="6">
        <f>G29+IF($A29&gt;=Inputs!$B$21,Inputs!$B$20,0)-IF($A29&gt;=DATE(2026,11,30),Inputs!$B$20+Loan_Schedule!$B$7,0)</f>
        <v>1559946.1333333333</v>
      </c>
    </row>
    <row r="30" spans="1:13" x14ac:dyDescent="0.45">
      <c r="A30" s="3">
        <f>Forecast!A30</f>
        <v>46353</v>
      </c>
      <c r="B30" s="6">
        <f>SUMIFS(Outflows!$E$2:$E$18,Outflows!$B$2:$B$18,$A30,Outflows!$D$2:$D$18,"&lt;&gt;existing_emi_assumed")</f>
        <v>0</v>
      </c>
      <c r="C30" s="6">
        <f>SUMIFS(Outflows!$E$2:$E$18,Outflows!$B$2:$B$18,$A30,Outflows!$D$2:$D$18,"existing_emi_assumed")</f>
        <v>0</v>
      </c>
      <c r="D30" s="6">
        <f>Forecast!I30</f>
        <v>70000</v>
      </c>
      <c r="E30" s="6">
        <f>Forecast!H30</f>
        <v>71603.416666666672</v>
      </c>
      <c r="F30" s="6">
        <f t="shared" si="0"/>
        <v>1463500</v>
      </c>
      <c r="G30" s="6">
        <f t="shared" si="1"/>
        <v>1431549.55</v>
      </c>
      <c r="H30" s="6">
        <f>F30+IF($A30&gt;=Inputs!$B$21,Inputs!$B$20,0)-IF($A30&gt;=DATE(2026,12,4),Loan_Schedule!$B$4,0)-IF($A30&gt;=DATE(2027,1,4),Loan_Schedule!$B$4,0)</f>
        <v>1663500</v>
      </c>
      <c r="I30" s="6">
        <f>F30+IF(AND($A30&gt;=Inputs!$B$21,$A30&lt;Inputs!$B$23),Inputs!$B$22,0)</f>
        <v>1463500</v>
      </c>
      <c r="J30" s="6">
        <f>F30+(Inputs!$B$26/Inputs!$B$25)*(IF($A30&gt;=DATE(2026,10,31),290000,0)+IF($A30&gt;=DATE(2026,11,1),150000,0)+IF($A30&gt;=DATE(2026,11,4),520000,0))</f>
        <v>1643500</v>
      </c>
      <c r="K30" s="6">
        <f>G30+IF($A30&gt;=Inputs!$B$21,Inputs!$B$20,0)-IF($A30&gt;=DATE(2026,12,4),Loan_Schedule!$B$4,0)-IF($A30&gt;=DATE(2027,1,4),Loan_Schedule!$B$4,0)</f>
        <v>1631549.55</v>
      </c>
      <c r="L30" s="6">
        <f>F30+IF($A30&gt;=Inputs!$B$21,Inputs!$B$20,0)-IF($A30&gt;=DATE(2026,11,30),Inputs!$B$20+Loan_Schedule!$B$7,0)</f>
        <v>1663500</v>
      </c>
      <c r="M30" s="6">
        <f>G30+IF($A30&gt;=Inputs!$B$21,Inputs!$B$20,0)-IF($A30&gt;=DATE(2026,11,30),Inputs!$B$20+Loan_Schedule!$B$7,0)</f>
        <v>1631549.55</v>
      </c>
    </row>
    <row r="31" spans="1:13" x14ac:dyDescent="0.45">
      <c r="A31" s="3">
        <f>Forecast!A31</f>
        <v>46354</v>
      </c>
      <c r="B31" s="6">
        <f>SUMIFS(Outflows!$E$2:$E$18,Outflows!$B$2:$B$18,$A31,Outflows!$D$2:$D$18,"&lt;&gt;existing_emi_assumed")</f>
        <v>0</v>
      </c>
      <c r="C31" s="6">
        <f>SUMIFS(Outflows!$E$2:$E$18,Outflows!$B$2:$B$18,$A31,Outflows!$D$2:$D$18,"existing_emi_assumed")</f>
        <v>0</v>
      </c>
      <c r="D31" s="6">
        <f>Forecast!I31</f>
        <v>70000</v>
      </c>
      <c r="E31" s="6">
        <f>Forecast!H31</f>
        <v>78226.583333333343</v>
      </c>
      <c r="F31" s="6">
        <f t="shared" si="0"/>
        <v>1533500</v>
      </c>
      <c r="G31" s="6">
        <f t="shared" si="1"/>
        <v>1509776.1333333333</v>
      </c>
      <c r="H31" s="6">
        <f>F31+IF($A31&gt;=Inputs!$B$21,Inputs!$B$20,0)-IF($A31&gt;=DATE(2026,12,4),Loan_Schedule!$B$4,0)-IF($A31&gt;=DATE(2027,1,4),Loan_Schedule!$B$4,0)</f>
        <v>1733500</v>
      </c>
      <c r="I31" s="6">
        <f>F31+IF(AND($A31&gt;=Inputs!$B$21,$A31&lt;Inputs!$B$23),Inputs!$B$22,0)</f>
        <v>1533500</v>
      </c>
      <c r="J31" s="6">
        <f>F31+(Inputs!$B$26/Inputs!$B$25)*(IF($A31&gt;=DATE(2026,10,31),290000,0)+IF($A31&gt;=DATE(2026,11,1),150000,0)+IF($A31&gt;=DATE(2026,11,4),520000,0))</f>
        <v>1713500</v>
      </c>
      <c r="K31" s="6">
        <f>G31+IF($A31&gt;=Inputs!$B$21,Inputs!$B$20,0)-IF($A31&gt;=DATE(2026,12,4),Loan_Schedule!$B$4,0)-IF($A31&gt;=DATE(2027,1,4),Loan_Schedule!$B$4,0)</f>
        <v>1709776.1333333333</v>
      </c>
      <c r="L31" s="6">
        <f>F31+IF($A31&gt;=Inputs!$B$21,Inputs!$B$20,0)-IF($A31&gt;=DATE(2026,11,30),Inputs!$B$20+Loan_Schedule!$B$7,0)</f>
        <v>1733500</v>
      </c>
      <c r="M31" s="6">
        <f>G31+IF($A31&gt;=Inputs!$B$21,Inputs!$B$20,0)-IF($A31&gt;=DATE(2026,11,30),Inputs!$B$20+Loan_Schedule!$B$7,0)</f>
        <v>1709776.1333333333</v>
      </c>
    </row>
    <row r="32" spans="1:13" x14ac:dyDescent="0.45">
      <c r="A32" s="3">
        <f>Forecast!A32</f>
        <v>46355</v>
      </c>
      <c r="B32" s="6">
        <f>SUMIFS(Outflows!$E$2:$E$18,Outflows!$B$2:$B$18,$A32,Outflows!$D$2:$D$18,"&lt;&gt;existing_emi_assumed")</f>
        <v>0</v>
      </c>
      <c r="C32" s="6">
        <f>SUMIFS(Outflows!$E$2:$E$18,Outflows!$B$2:$B$18,$A32,Outflows!$D$2:$D$18,"existing_emi_assumed")</f>
        <v>0</v>
      </c>
      <c r="D32" s="6">
        <f>Forecast!I32</f>
        <v>70000</v>
      </c>
      <c r="E32" s="6">
        <f>Forecast!H32</f>
        <v>72711</v>
      </c>
      <c r="F32" s="6">
        <f t="shared" si="0"/>
        <v>1603500</v>
      </c>
      <c r="G32" s="6">
        <f t="shared" si="1"/>
        <v>1582487.1333333333</v>
      </c>
      <c r="H32" s="6">
        <f>F32+IF($A32&gt;=Inputs!$B$21,Inputs!$B$20,0)-IF($A32&gt;=DATE(2026,12,4),Loan_Schedule!$B$4,0)-IF($A32&gt;=DATE(2027,1,4),Loan_Schedule!$B$4,0)</f>
        <v>1803500</v>
      </c>
      <c r="I32" s="6">
        <f>F32+IF(AND($A32&gt;=Inputs!$B$21,$A32&lt;Inputs!$B$23),Inputs!$B$22,0)</f>
        <v>1603500</v>
      </c>
      <c r="J32" s="6">
        <f>F32+(Inputs!$B$26/Inputs!$B$25)*(IF($A32&gt;=DATE(2026,10,31),290000,0)+IF($A32&gt;=DATE(2026,11,1),150000,0)+IF($A32&gt;=DATE(2026,11,4),520000,0))</f>
        <v>1783500</v>
      </c>
      <c r="K32" s="6">
        <f>G32+IF($A32&gt;=Inputs!$B$21,Inputs!$B$20,0)-IF($A32&gt;=DATE(2026,12,4),Loan_Schedule!$B$4,0)-IF($A32&gt;=DATE(2027,1,4),Loan_Schedule!$B$4,0)</f>
        <v>1782487.1333333333</v>
      </c>
      <c r="L32" s="6">
        <f>F32+IF($A32&gt;=Inputs!$B$21,Inputs!$B$20,0)-IF($A32&gt;=DATE(2026,11,30),Inputs!$B$20+Loan_Schedule!$B$7,0)</f>
        <v>1803500</v>
      </c>
      <c r="M32" s="6">
        <f>G32+IF($A32&gt;=Inputs!$B$21,Inputs!$B$20,0)-IF($A32&gt;=DATE(2026,11,30),Inputs!$B$20+Loan_Schedule!$B$7,0)</f>
        <v>1782487.1333333333</v>
      </c>
    </row>
    <row r="33" spans="1:13" x14ac:dyDescent="0.45">
      <c r="A33" s="3">
        <f>Forecast!A33</f>
        <v>46356</v>
      </c>
      <c r="B33" s="6">
        <f>SUMIFS(Outflows!$E$2:$E$18,Outflows!$B$2:$B$18,$A33,Outflows!$D$2:$D$18,"&lt;&gt;existing_emi_assumed")</f>
        <v>0</v>
      </c>
      <c r="C33" s="6">
        <f>SUMIFS(Outflows!$E$2:$E$18,Outflows!$B$2:$B$18,$A33,Outflows!$D$2:$D$18,"existing_emi_assumed")</f>
        <v>0</v>
      </c>
      <c r="D33" s="6">
        <f>Forecast!I33</f>
        <v>70000</v>
      </c>
      <c r="E33" s="6">
        <f>Forecast!H33</f>
        <v>63994.666666666664</v>
      </c>
      <c r="F33" s="6">
        <f t="shared" si="0"/>
        <v>1673500</v>
      </c>
      <c r="G33" s="6">
        <f t="shared" si="1"/>
        <v>1646481.8</v>
      </c>
      <c r="H33" s="6">
        <f>F33+IF($A33&gt;=Inputs!$B$21,Inputs!$B$20,0)-IF($A33&gt;=DATE(2026,12,4),Loan_Schedule!$B$4,0)-IF($A33&gt;=DATE(2027,1,4),Loan_Schedule!$B$4,0)</f>
        <v>1873500</v>
      </c>
      <c r="I33" s="6">
        <f>F33+IF(AND($A33&gt;=Inputs!$B$21,$A33&lt;Inputs!$B$23),Inputs!$B$22,0)</f>
        <v>1673500</v>
      </c>
      <c r="J33" s="6">
        <f>F33+(Inputs!$B$26/Inputs!$B$25)*(IF($A33&gt;=DATE(2026,10,31),290000,0)+IF($A33&gt;=DATE(2026,11,1),150000,0)+IF($A33&gt;=DATE(2026,11,4),520000,0))</f>
        <v>1853500</v>
      </c>
      <c r="K33" s="6">
        <f>G33+IF($A33&gt;=Inputs!$B$21,Inputs!$B$20,0)-IF($A33&gt;=DATE(2026,12,4),Loan_Schedule!$B$4,0)-IF($A33&gt;=DATE(2027,1,4),Loan_Schedule!$B$4,0)</f>
        <v>1846481.8</v>
      </c>
      <c r="L33" s="6">
        <f>F33+IF($A33&gt;=Inputs!$B$21,Inputs!$B$20,0)-IF($A33&gt;=DATE(2026,11,30),Inputs!$B$20+Loan_Schedule!$B$7,0)</f>
        <v>1670864.3835616438</v>
      </c>
      <c r="M33" s="6">
        <f>G33+IF($A33&gt;=Inputs!$B$21,Inputs!$B$20,0)-IF($A33&gt;=DATE(2026,11,30),Inputs!$B$20+Loan_Schedule!$B$7,0)</f>
        <v>1643846.1835616438</v>
      </c>
    </row>
    <row r="34" spans="1:13" x14ac:dyDescent="0.45">
      <c r="A34" s="3">
        <f>Forecast!A34</f>
        <v>46357</v>
      </c>
      <c r="B34" s="6">
        <f>SUMIFS(Outflows!$E$2:$E$18,Outflows!$B$2:$B$18,$A34,Outflows!$D$2:$D$18,"&lt;&gt;existing_emi_assumed")</f>
        <v>105000</v>
      </c>
      <c r="C34" s="6">
        <f>SUMIFS(Outflows!$E$2:$E$18,Outflows!$B$2:$B$18,$A34,Outflows!$D$2:$D$18,"existing_emi_assumed")</f>
        <v>22000</v>
      </c>
      <c r="D34" s="6">
        <f>Forecast!I34</f>
        <v>70000</v>
      </c>
      <c r="E34" s="6">
        <f>Forecast!H34</f>
        <v>66386.916666666672</v>
      </c>
      <c r="F34" s="6">
        <f t="shared" si="0"/>
        <v>1638500</v>
      </c>
      <c r="G34" s="6">
        <f t="shared" si="1"/>
        <v>1585868.7166666668</v>
      </c>
      <c r="H34" s="6">
        <f>F34+IF($A34&gt;=Inputs!$B$21,Inputs!$B$20,0)-IF($A34&gt;=DATE(2026,12,4),Loan_Schedule!$B$4,0)-IF($A34&gt;=DATE(2027,1,4),Loan_Schedule!$B$4,0)</f>
        <v>1838500</v>
      </c>
      <c r="I34" s="6">
        <f>F34+IF(AND($A34&gt;=Inputs!$B$21,$A34&lt;Inputs!$B$23),Inputs!$B$22,0)</f>
        <v>1638500</v>
      </c>
      <c r="J34" s="6">
        <f>F34+(Inputs!$B$26/Inputs!$B$25)*(IF($A34&gt;=DATE(2026,10,31),290000,0)+IF($A34&gt;=DATE(2026,11,1),150000,0)+IF($A34&gt;=DATE(2026,11,4),520000,0))</f>
        <v>1818500</v>
      </c>
      <c r="K34" s="6">
        <f>G34+IF($A34&gt;=Inputs!$B$21,Inputs!$B$20,0)-IF($A34&gt;=DATE(2026,12,4),Loan_Schedule!$B$4,0)-IF($A34&gt;=DATE(2027,1,4),Loan_Schedule!$B$4,0)</f>
        <v>1785868.7166666668</v>
      </c>
      <c r="L34" s="6">
        <f>F34+IF($A34&gt;=Inputs!$B$21,Inputs!$B$20,0)-IF($A34&gt;=DATE(2026,11,30),Inputs!$B$20+Loan_Schedule!$B$7,0)</f>
        <v>1635864.3835616438</v>
      </c>
      <c r="M34" s="6">
        <f>G34+IF($A34&gt;=Inputs!$B$21,Inputs!$B$20,0)-IF($A34&gt;=DATE(2026,11,30),Inputs!$B$20+Loan_Schedule!$B$7,0)</f>
        <v>1583233.1002283106</v>
      </c>
    </row>
    <row r="35" spans="1:13" x14ac:dyDescent="0.45">
      <c r="A35" s="3">
        <f>Forecast!A35</f>
        <v>46358</v>
      </c>
      <c r="B35" s="6">
        <f>SUMIFS(Outflows!$E$2:$E$18,Outflows!$B$2:$B$18,$A35,Outflows!$D$2:$D$18,"&lt;&gt;existing_emi_assumed")</f>
        <v>0</v>
      </c>
      <c r="C35" s="6">
        <f>SUMIFS(Outflows!$E$2:$E$18,Outflows!$B$2:$B$18,$A35,Outflows!$D$2:$D$18,"existing_emi_assumed")</f>
        <v>0</v>
      </c>
      <c r="D35" s="6">
        <f>Forecast!I35</f>
        <v>70000</v>
      </c>
      <c r="E35" s="6">
        <f>Forecast!H35</f>
        <v>68091.583333333343</v>
      </c>
      <c r="F35" s="6">
        <f t="shared" ref="F35:F66" si="2">F34+D35-B35</f>
        <v>1708500</v>
      </c>
      <c r="G35" s="6">
        <f t="shared" ref="G35:G66" si="3">G34+E35-B35-C35</f>
        <v>1653960.3</v>
      </c>
      <c r="H35" s="6">
        <f>F35+IF($A35&gt;=Inputs!$B$21,Inputs!$B$20,0)-IF($A35&gt;=DATE(2026,12,4),Loan_Schedule!$B$4,0)-IF($A35&gt;=DATE(2027,1,4),Loan_Schedule!$B$4,0)</f>
        <v>1908500</v>
      </c>
      <c r="I35" s="6">
        <f>F35+IF(AND($A35&gt;=Inputs!$B$21,$A35&lt;Inputs!$B$23),Inputs!$B$22,0)</f>
        <v>1708500</v>
      </c>
      <c r="J35" s="6">
        <f>F35+(Inputs!$B$26/Inputs!$B$25)*(IF($A35&gt;=DATE(2026,10,31),290000,0)+IF($A35&gt;=DATE(2026,11,1),150000,0)+IF($A35&gt;=DATE(2026,11,4),520000,0))</f>
        <v>1888500</v>
      </c>
      <c r="K35" s="6">
        <f>G35+IF($A35&gt;=Inputs!$B$21,Inputs!$B$20,0)-IF($A35&gt;=DATE(2026,12,4),Loan_Schedule!$B$4,0)-IF($A35&gt;=DATE(2027,1,4),Loan_Schedule!$B$4,0)</f>
        <v>1853960.3</v>
      </c>
      <c r="L35" s="6">
        <f>F35+IF($A35&gt;=Inputs!$B$21,Inputs!$B$20,0)-IF($A35&gt;=DATE(2026,11,30),Inputs!$B$20+Loan_Schedule!$B$7,0)</f>
        <v>1705864.3835616438</v>
      </c>
      <c r="M35" s="6">
        <f>G35+IF($A35&gt;=Inputs!$B$21,Inputs!$B$20,0)-IF($A35&gt;=DATE(2026,11,30),Inputs!$B$20+Loan_Schedule!$B$7,0)</f>
        <v>1651324.6835616438</v>
      </c>
    </row>
    <row r="36" spans="1:13" x14ac:dyDescent="0.45">
      <c r="A36" s="3">
        <f>Forecast!A36</f>
        <v>46359</v>
      </c>
      <c r="B36" s="6">
        <f>SUMIFS(Outflows!$E$2:$E$18,Outflows!$B$2:$B$18,$A36,Outflows!$D$2:$D$18,"&lt;&gt;existing_emi_assumed")</f>
        <v>0</v>
      </c>
      <c r="C36" s="6">
        <f>SUMIFS(Outflows!$E$2:$E$18,Outflows!$B$2:$B$18,$A36,Outflows!$D$2:$D$18,"existing_emi_assumed")</f>
        <v>0</v>
      </c>
      <c r="D36" s="6">
        <f>Forecast!I36</f>
        <v>70000</v>
      </c>
      <c r="E36" s="6">
        <f>Forecast!H36</f>
        <v>69995.333333333328</v>
      </c>
      <c r="F36" s="6">
        <f t="shared" si="2"/>
        <v>1778500</v>
      </c>
      <c r="G36" s="6">
        <f t="shared" si="3"/>
        <v>1723955.6333333333</v>
      </c>
      <c r="H36" s="6">
        <f>F36+IF($A36&gt;=Inputs!$B$21,Inputs!$B$20,0)-IF($A36&gt;=DATE(2026,12,4),Loan_Schedule!$B$4,0)-IF($A36&gt;=DATE(2027,1,4),Loan_Schedule!$B$4,0)</f>
        <v>1978500</v>
      </c>
      <c r="I36" s="6">
        <f>F36+IF(AND($A36&gt;=Inputs!$B$21,$A36&lt;Inputs!$B$23),Inputs!$B$22,0)</f>
        <v>1778500</v>
      </c>
      <c r="J36" s="6">
        <f>F36+(Inputs!$B$26/Inputs!$B$25)*(IF($A36&gt;=DATE(2026,10,31),290000,0)+IF($A36&gt;=DATE(2026,11,1),150000,0)+IF($A36&gt;=DATE(2026,11,4),520000,0))</f>
        <v>1958500</v>
      </c>
      <c r="K36" s="6">
        <f>G36+IF($A36&gt;=Inputs!$B$21,Inputs!$B$20,0)-IF($A36&gt;=DATE(2026,12,4),Loan_Schedule!$B$4,0)-IF($A36&gt;=DATE(2027,1,4),Loan_Schedule!$B$4,0)</f>
        <v>1923955.6333333333</v>
      </c>
      <c r="L36" s="6">
        <f>F36+IF($A36&gt;=Inputs!$B$21,Inputs!$B$20,0)-IF($A36&gt;=DATE(2026,11,30),Inputs!$B$20+Loan_Schedule!$B$7,0)</f>
        <v>1775864.3835616438</v>
      </c>
      <c r="M36" s="6">
        <f>G36+IF($A36&gt;=Inputs!$B$21,Inputs!$B$20,0)-IF($A36&gt;=DATE(2026,11,30),Inputs!$B$20+Loan_Schedule!$B$7,0)</f>
        <v>1721320.0168949771</v>
      </c>
    </row>
    <row r="37" spans="1:13" x14ac:dyDescent="0.45">
      <c r="A37" s="3">
        <f>Forecast!A37</f>
        <v>46360</v>
      </c>
      <c r="B37" s="6">
        <f>SUMIFS(Outflows!$E$2:$E$18,Outflows!$B$2:$B$18,$A37,Outflows!$D$2:$D$18,"&lt;&gt;existing_emi_assumed")</f>
        <v>0</v>
      </c>
      <c r="C37" s="6">
        <f>SUMIFS(Outflows!$E$2:$E$18,Outflows!$B$2:$B$18,$A37,Outflows!$D$2:$D$18,"existing_emi_assumed")</f>
        <v>0</v>
      </c>
      <c r="D37" s="6">
        <f>Forecast!I37</f>
        <v>70000</v>
      </c>
      <c r="E37" s="6">
        <f>Forecast!H37</f>
        <v>71603.416666666672</v>
      </c>
      <c r="F37" s="6">
        <f t="shared" si="2"/>
        <v>1848500</v>
      </c>
      <c r="G37" s="6">
        <f t="shared" si="3"/>
        <v>1795559.05</v>
      </c>
      <c r="H37" s="6">
        <f>F37+IF($A37&gt;=Inputs!$B$21,Inputs!$B$20,0)-IF($A37&gt;=DATE(2026,12,4),Loan_Schedule!$B$4,0)-IF($A37&gt;=DATE(2027,1,4),Loan_Schedule!$B$4,0)</f>
        <v>1979767.2955129889</v>
      </c>
      <c r="I37" s="6">
        <f>F37+IF(AND($A37&gt;=Inputs!$B$21,$A37&lt;Inputs!$B$23),Inputs!$B$22,0)</f>
        <v>1848500</v>
      </c>
      <c r="J37" s="6">
        <f>F37+(Inputs!$B$26/Inputs!$B$25)*(IF($A37&gt;=DATE(2026,10,31),290000,0)+IF($A37&gt;=DATE(2026,11,1),150000,0)+IF($A37&gt;=DATE(2026,11,4),520000,0))</f>
        <v>2028500</v>
      </c>
      <c r="K37" s="6">
        <f>G37+IF($A37&gt;=Inputs!$B$21,Inputs!$B$20,0)-IF($A37&gt;=DATE(2026,12,4),Loan_Schedule!$B$4,0)-IF($A37&gt;=DATE(2027,1,4),Loan_Schedule!$B$4,0)</f>
        <v>1926826.345512989</v>
      </c>
      <c r="L37" s="6">
        <f>F37+IF($A37&gt;=Inputs!$B$21,Inputs!$B$20,0)-IF($A37&gt;=DATE(2026,11,30),Inputs!$B$20+Loan_Schedule!$B$7,0)</f>
        <v>1845864.3835616438</v>
      </c>
      <c r="M37" s="6">
        <f>G37+IF($A37&gt;=Inputs!$B$21,Inputs!$B$20,0)-IF($A37&gt;=DATE(2026,11,30),Inputs!$B$20+Loan_Schedule!$B$7,0)</f>
        <v>1792923.4335616438</v>
      </c>
    </row>
    <row r="38" spans="1:13" x14ac:dyDescent="0.45">
      <c r="A38" s="3">
        <f>Forecast!A38</f>
        <v>46361</v>
      </c>
      <c r="B38" s="6">
        <f>SUMIFS(Outflows!$E$2:$E$18,Outflows!$B$2:$B$18,$A38,Outflows!$D$2:$D$18,"&lt;&gt;existing_emi_assumed")</f>
        <v>107000</v>
      </c>
      <c r="C38" s="6">
        <f>SUMIFS(Outflows!$E$2:$E$18,Outflows!$B$2:$B$18,$A38,Outflows!$D$2:$D$18,"existing_emi_assumed")</f>
        <v>0</v>
      </c>
      <c r="D38" s="6">
        <f>Forecast!I38</f>
        <v>70000</v>
      </c>
      <c r="E38" s="6">
        <f>Forecast!H38</f>
        <v>78226.583333333343</v>
      </c>
      <c r="F38" s="6">
        <f t="shared" si="2"/>
        <v>1811500</v>
      </c>
      <c r="G38" s="6">
        <f t="shared" si="3"/>
        <v>1766785.6333333333</v>
      </c>
      <c r="H38" s="6">
        <f>F38+IF($A38&gt;=Inputs!$B$21,Inputs!$B$20,0)-IF($A38&gt;=DATE(2026,12,4),Loan_Schedule!$B$4,0)-IF($A38&gt;=DATE(2027,1,4),Loan_Schedule!$B$4,0)</f>
        <v>1942767.2955129889</v>
      </c>
      <c r="I38" s="6">
        <f>F38+IF(AND($A38&gt;=Inputs!$B$21,$A38&lt;Inputs!$B$23),Inputs!$B$22,0)</f>
        <v>1811500</v>
      </c>
      <c r="J38" s="6">
        <f>F38+(Inputs!$B$26/Inputs!$B$25)*(IF($A38&gt;=DATE(2026,10,31),290000,0)+IF($A38&gt;=DATE(2026,11,1),150000,0)+IF($A38&gt;=DATE(2026,11,4),520000,0))</f>
        <v>1991500</v>
      </c>
      <c r="K38" s="6">
        <f>G38+IF($A38&gt;=Inputs!$B$21,Inputs!$B$20,0)-IF($A38&gt;=DATE(2026,12,4),Loan_Schedule!$B$4,0)-IF($A38&gt;=DATE(2027,1,4),Loan_Schedule!$B$4,0)</f>
        <v>1898052.9288463222</v>
      </c>
      <c r="L38" s="6">
        <f>F38+IF($A38&gt;=Inputs!$B$21,Inputs!$B$20,0)-IF($A38&gt;=DATE(2026,11,30),Inputs!$B$20+Loan_Schedule!$B$7,0)</f>
        <v>1808864.3835616438</v>
      </c>
      <c r="M38" s="6">
        <f>G38+IF($A38&gt;=Inputs!$B$21,Inputs!$B$20,0)-IF($A38&gt;=DATE(2026,11,30),Inputs!$B$20+Loan_Schedule!$B$7,0)</f>
        <v>1764150.0168949771</v>
      </c>
    </row>
    <row r="39" spans="1:13" x14ac:dyDescent="0.45">
      <c r="A39" s="3">
        <f>Forecast!A39</f>
        <v>46362</v>
      </c>
      <c r="B39" s="6">
        <f>SUMIFS(Outflows!$E$2:$E$18,Outflows!$B$2:$B$18,$A39,Outflows!$D$2:$D$18,"&lt;&gt;existing_emi_assumed")</f>
        <v>0</v>
      </c>
      <c r="C39" s="6">
        <f>SUMIFS(Outflows!$E$2:$E$18,Outflows!$B$2:$B$18,$A39,Outflows!$D$2:$D$18,"existing_emi_assumed")</f>
        <v>0</v>
      </c>
      <c r="D39" s="6">
        <f>Forecast!I39</f>
        <v>70000</v>
      </c>
      <c r="E39" s="6">
        <f>Forecast!H39</f>
        <v>72711</v>
      </c>
      <c r="F39" s="6">
        <f t="shared" si="2"/>
        <v>1881500</v>
      </c>
      <c r="G39" s="6">
        <f t="shared" si="3"/>
        <v>1839496.6333333333</v>
      </c>
      <c r="H39" s="6">
        <f>F39+IF($A39&gt;=Inputs!$B$21,Inputs!$B$20,0)-IF($A39&gt;=DATE(2026,12,4),Loan_Schedule!$B$4,0)-IF($A39&gt;=DATE(2027,1,4),Loan_Schedule!$B$4,0)</f>
        <v>2012767.2955129889</v>
      </c>
      <c r="I39" s="6">
        <f>F39+IF(AND($A39&gt;=Inputs!$B$21,$A39&lt;Inputs!$B$23),Inputs!$B$22,0)</f>
        <v>1881500</v>
      </c>
      <c r="J39" s="6">
        <f>F39+(Inputs!$B$26/Inputs!$B$25)*(IF($A39&gt;=DATE(2026,10,31),290000,0)+IF($A39&gt;=DATE(2026,11,1),150000,0)+IF($A39&gt;=DATE(2026,11,4),520000,0))</f>
        <v>2061500</v>
      </c>
      <c r="K39" s="6">
        <f>G39+IF($A39&gt;=Inputs!$B$21,Inputs!$B$20,0)-IF($A39&gt;=DATE(2026,12,4),Loan_Schedule!$B$4,0)-IF($A39&gt;=DATE(2027,1,4),Loan_Schedule!$B$4,0)</f>
        <v>1970763.9288463222</v>
      </c>
      <c r="L39" s="6">
        <f>F39+IF($A39&gt;=Inputs!$B$21,Inputs!$B$20,0)-IF($A39&gt;=DATE(2026,11,30),Inputs!$B$20+Loan_Schedule!$B$7,0)</f>
        <v>1878864.3835616438</v>
      </c>
      <c r="M39" s="6">
        <f>G39+IF($A39&gt;=Inputs!$B$21,Inputs!$B$20,0)-IF($A39&gt;=DATE(2026,11,30),Inputs!$B$20+Loan_Schedule!$B$7,0)</f>
        <v>1836861.0168949771</v>
      </c>
    </row>
    <row r="40" spans="1:13" x14ac:dyDescent="0.45">
      <c r="A40" s="3">
        <f>Forecast!A40</f>
        <v>46363</v>
      </c>
      <c r="B40" s="6">
        <f>SUMIFS(Outflows!$E$2:$E$18,Outflows!$B$2:$B$18,$A40,Outflows!$D$2:$D$18,"&lt;&gt;existing_emi_assumed")</f>
        <v>0</v>
      </c>
      <c r="C40" s="6">
        <f>SUMIFS(Outflows!$E$2:$E$18,Outflows!$B$2:$B$18,$A40,Outflows!$D$2:$D$18,"existing_emi_assumed")</f>
        <v>0</v>
      </c>
      <c r="D40" s="6">
        <f>Forecast!I40</f>
        <v>70000</v>
      </c>
      <c r="E40" s="6">
        <f>Forecast!H40</f>
        <v>63994.666666666664</v>
      </c>
      <c r="F40" s="6">
        <f t="shared" si="2"/>
        <v>1951500</v>
      </c>
      <c r="G40" s="6">
        <f t="shared" si="3"/>
        <v>1903491.3</v>
      </c>
      <c r="H40" s="6">
        <f>F40+IF($A40&gt;=Inputs!$B$21,Inputs!$B$20,0)-IF($A40&gt;=DATE(2026,12,4),Loan_Schedule!$B$4,0)-IF($A40&gt;=DATE(2027,1,4),Loan_Schedule!$B$4,0)</f>
        <v>2082767.2955129889</v>
      </c>
      <c r="I40" s="6">
        <f>F40+IF(AND($A40&gt;=Inputs!$B$21,$A40&lt;Inputs!$B$23),Inputs!$B$22,0)</f>
        <v>1951500</v>
      </c>
      <c r="J40" s="6">
        <f>F40+(Inputs!$B$26/Inputs!$B$25)*(IF($A40&gt;=DATE(2026,10,31),290000,0)+IF($A40&gt;=DATE(2026,11,1),150000,0)+IF($A40&gt;=DATE(2026,11,4),520000,0))</f>
        <v>2131500</v>
      </c>
      <c r="K40" s="6">
        <f>G40+IF($A40&gt;=Inputs!$B$21,Inputs!$B$20,0)-IF($A40&gt;=DATE(2026,12,4),Loan_Schedule!$B$4,0)-IF($A40&gt;=DATE(2027,1,4),Loan_Schedule!$B$4,0)</f>
        <v>2034758.5955129887</v>
      </c>
      <c r="L40" s="6">
        <f>F40+IF($A40&gt;=Inputs!$B$21,Inputs!$B$20,0)-IF($A40&gt;=DATE(2026,11,30),Inputs!$B$20+Loan_Schedule!$B$7,0)</f>
        <v>1948864.3835616438</v>
      </c>
      <c r="M40" s="6">
        <f>G40+IF($A40&gt;=Inputs!$B$21,Inputs!$B$20,0)-IF($A40&gt;=DATE(2026,11,30),Inputs!$B$20+Loan_Schedule!$B$7,0)</f>
        <v>1900855.6835616436</v>
      </c>
    </row>
    <row r="41" spans="1:13" x14ac:dyDescent="0.45">
      <c r="A41" s="3">
        <f>Forecast!A41</f>
        <v>46364</v>
      </c>
      <c r="B41" s="6">
        <f>SUMIFS(Outflows!$E$2:$E$18,Outflows!$B$2:$B$18,$A41,Outflows!$D$2:$D$18,"&lt;&gt;existing_emi_assumed")</f>
        <v>0</v>
      </c>
      <c r="C41" s="6">
        <f>SUMIFS(Outflows!$E$2:$E$18,Outflows!$B$2:$B$18,$A41,Outflows!$D$2:$D$18,"existing_emi_assumed")</f>
        <v>0</v>
      </c>
      <c r="D41" s="6">
        <f>Forecast!I41</f>
        <v>70000</v>
      </c>
      <c r="E41" s="6">
        <f>Forecast!H41</f>
        <v>66386.916666666672</v>
      </c>
      <c r="F41" s="6">
        <f t="shared" si="2"/>
        <v>2021500</v>
      </c>
      <c r="G41" s="6">
        <f t="shared" si="3"/>
        <v>1969878.2166666668</v>
      </c>
      <c r="H41" s="6">
        <f>F41+IF($A41&gt;=Inputs!$B$21,Inputs!$B$20,0)-IF($A41&gt;=DATE(2026,12,4),Loan_Schedule!$B$4,0)-IF($A41&gt;=DATE(2027,1,4),Loan_Schedule!$B$4,0)</f>
        <v>2152767.2955129892</v>
      </c>
      <c r="I41" s="6">
        <f>F41+IF(AND($A41&gt;=Inputs!$B$21,$A41&lt;Inputs!$B$23),Inputs!$B$22,0)</f>
        <v>2021500</v>
      </c>
      <c r="J41" s="6">
        <f>F41+(Inputs!$B$26/Inputs!$B$25)*(IF($A41&gt;=DATE(2026,10,31),290000,0)+IF($A41&gt;=DATE(2026,11,1),150000,0)+IF($A41&gt;=DATE(2026,11,4),520000,0))</f>
        <v>2201500</v>
      </c>
      <c r="K41" s="6">
        <f>G41+IF($A41&gt;=Inputs!$B$21,Inputs!$B$20,0)-IF($A41&gt;=DATE(2026,12,4),Loan_Schedule!$B$4,0)-IF($A41&gt;=DATE(2027,1,4),Loan_Schedule!$B$4,0)</f>
        <v>2101145.512179656</v>
      </c>
      <c r="L41" s="6">
        <f>F41+IF($A41&gt;=Inputs!$B$21,Inputs!$B$20,0)-IF($A41&gt;=DATE(2026,11,30),Inputs!$B$20+Loan_Schedule!$B$7,0)</f>
        <v>2018864.3835616438</v>
      </c>
      <c r="M41" s="6">
        <f>G41+IF($A41&gt;=Inputs!$B$21,Inputs!$B$20,0)-IF($A41&gt;=DATE(2026,11,30),Inputs!$B$20+Loan_Schedule!$B$7,0)</f>
        <v>1967242.6002283106</v>
      </c>
    </row>
    <row r="42" spans="1:13" x14ac:dyDescent="0.45">
      <c r="A42" s="3">
        <f>Forecast!A42</f>
        <v>46365</v>
      </c>
      <c r="B42" s="6">
        <f>SUMIFS(Outflows!$E$2:$E$18,Outflows!$B$2:$B$18,$A42,Outflows!$D$2:$D$18,"&lt;&gt;existing_emi_assumed")</f>
        <v>0</v>
      </c>
      <c r="C42" s="6">
        <f>SUMIFS(Outflows!$E$2:$E$18,Outflows!$B$2:$B$18,$A42,Outflows!$D$2:$D$18,"existing_emi_assumed")</f>
        <v>0</v>
      </c>
      <c r="D42" s="6">
        <f>Forecast!I42</f>
        <v>70000</v>
      </c>
      <c r="E42" s="6">
        <f>Forecast!H42</f>
        <v>68091.583333333343</v>
      </c>
      <c r="F42" s="6">
        <f t="shared" si="2"/>
        <v>2091500</v>
      </c>
      <c r="G42" s="6">
        <f t="shared" si="3"/>
        <v>2037969.8</v>
      </c>
      <c r="H42" s="6">
        <f>F42+IF($A42&gt;=Inputs!$B$21,Inputs!$B$20,0)-IF($A42&gt;=DATE(2026,12,4),Loan_Schedule!$B$4,0)-IF($A42&gt;=DATE(2027,1,4),Loan_Schedule!$B$4,0)</f>
        <v>2222767.2955129892</v>
      </c>
      <c r="I42" s="6">
        <f>F42+IF(AND($A42&gt;=Inputs!$B$21,$A42&lt;Inputs!$B$23),Inputs!$B$22,0)</f>
        <v>2091500</v>
      </c>
      <c r="J42" s="6">
        <f>F42+(Inputs!$B$26/Inputs!$B$25)*(IF($A42&gt;=DATE(2026,10,31),290000,0)+IF($A42&gt;=DATE(2026,11,1),150000,0)+IF($A42&gt;=DATE(2026,11,4),520000,0))</f>
        <v>2271500</v>
      </c>
      <c r="K42" s="6">
        <f>G42+IF($A42&gt;=Inputs!$B$21,Inputs!$B$20,0)-IF($A42&gt;=DATE(2026,12,4),Loan_Schedule!$B$4,0)-IF($A42&gt;=DATE(2027,1,4),Loan_Schedule!$B$4,0)</f>
        <v>2169237.095512989</v>
      </c>
      <c r="L42" s="6">
        <f>F42+IF($A42&gt;=Inputs!$B$21,Inputs!$B$20,0)-IF($A42&gt;=DATE(2026,11,30),Inputs!$B$20+Loan_Schedule!$B$7,0)</f>
        <v>2088864.3835616438</v>
      </c>
      <c r="M42" s="6">
        <f>G42+IF($A42&gt;=Inputs!$B$21,Inputs!$B$20,0)-IF($A42&gt;=DATE(2026,11,30),Inputs!$B$20+Loan_Schedule!$B$7,0)</f>
        <v>2035334.1835616436</v>
      </c>
    </row>
    <row r="43" spans="1:13" x14ac:dyDescent="0.45">
      <c r="A43" s="3">
        <f>Forecast!A43</f>
        <v>46366</v>
      </c>
      <c r="B43" s="6">
        <f>SUMIFS(Outflows!$E$2:$E$18,Outflows!$B$2:$B$18,$A43,Outflows!$D$2:$D$18,"&lt;&gt;existing_emi_assumed")</f>
        <v>0</v>
      </c>
      <c r="C43" s="6">
        <f>SUMIFS(Outflows!$E$2:$E$18,Outflows!$B$2:$B$18,$A43,Outflows!$D$2:$D$18,"existing_emi_assumed")</f>
        <v>0</v>
      </c>
      <c r="D43" s="6">
        <f>Forecast!I43</f>
        <v>70000</v>
      </c>
      <c r="E43" s="6">
        <f>Forecast!H43</f>
        <v>69995.333333333328</v>
      </c>
      <c r="F43" s="6">
        <f t="shared" si="2"/>
        <v>2161500</v>
      </c>
      <c r="G43" s="6">
        <f t="shared" si="3"/>
        <v>2107965.1333333333</v>
      </c>
      <c r="H43" s="6">
        <f>F43+IF($A43&gt;=Inputs!$B$21,Inputs!$B$20,0)-IF($A43&gt;=DATE(2026,12,4),Loan_Schedule!$B$4,0)-IF($A43&gt;=DATE(2027,1,4),Loan_Schedule!$B$4,0)</f>
        <v>2292767.2955129892</v>
      </c>
      <c r="I43" s="6">
        <f>F43+IF(AND($A43&gt;=Inputs!$B$21,$A43&lt;Inputs!$B$23),Inputs!$B$22,0)</f>
        <v>2161500</v>
      </c>
      <c r="J43" s="6">
        <f>F43+(Inputs!$B$26/Inputs!$B$25)*(IF($A43&gt;=DATE(2026,10,31),290000,0)+IF($A43&gt;=DATE(2026,11,1),150000,0)+IF($A43&gt;=DATE(2026,11,4),520000,0))</f>
        <v>2341500</v>
      </c>
      <c r="K43" s="6">
        <f>G43+IF($A43&gt;=Inputs!$B$21,Inputs!$B$20,0)-IF($A43&gt;=DATE(2026,12,4),Loan_Schedule!$B$4,0)-IF($A43&gt;=DATE(2027,1,4),Loan_Schedule!$B$4,0)</f>
        <v>2239232.4288463225</v>
      </c>
      <c r="L43" s="6">
        <f>F43+IF($A43&gt;=Inputs!$B$21,Inputs!$B$20,0)-IF($A43&gt;=DATE(2026,11,30),Inputs!$B$20+Loan_Schedule!$B$7,0)</f>
        <v>2158864.3835616438</v>
      </c>
      <c r="M43" s="6">
        <f>G43+IF($A43&gt;=Inputs!$B$21,Inputs!$B$20,0)-IF($A43&gt;=DATE(2026,11,30),Inputs!$B$20+Loan_Schedule!$B$7,0)</f>
        <v>2105329.5168949771</v>
      </c>
    </row>
    <row r="44" spans="1:13" x14ac:dyDescent="0.45">
      <c r="A44" s="3">
        <f>Forecast!A44</f>
        <v>46367</v>
      </c>
      <c r="B44" s="6">
        <f>SUMIFS(Outflows!$E$2:$E$18,Outflows!$B$2:$B$18,$A44,Outflows!$D$2:$D$18,"&lt;&gt;existing_emi_assumed")</f>
        <v>0</v>
      </c>
      <c r="C44" s="6">
        <f>SUMIFS(Outflows!$E$2:$E$18,Outflows!$B$2:$B$18,$A44,Outflows!$D$2:$D$18,"existing_emi_assumed")</f>
        <v>0</v>
      </c>
      <c r="D44" s="6">
        <f>Forecast!I44</f>
        <v>70000</v>
      </c>
      <c r="E44" s="6">
        <f>Forecast!H44</f>
        <v>71603.416666666672</v>
      </c>
      <c r="F44" s="6">
        <f t="shared" si="2"/>
        <v>2231500</v>
      </c>
      <c r="G44" s="6">
        <f t="shared" si="3"/>
        <v>2179568.5499999998</v>
      </c>
      <c r="H44" s="6">
        <f>F44+IF($A44&gt;=Inputs!$B$21,Inputs!$B$20,0)-IF($A44&gt;=DATE(2026,12,4),Loan_Schedule!$B$4,0)-IF($A44&gt;=DATE(2027,1,4),Loan_Schedule!$B$4,0)</f>
        <v>2362767.2955129892</v>
      </c>
      <c r="I44" s="6">
        <f>F44+IF(AND($A44&gt;=Inputs!$B$21,$A44&lt;Inputs!$B$23),Inputs!$B$22,0)</f>
        <v>2231500</v>
      </c>
      <c r="J44" s="6">
        <f>F44+(Inputs!$B$26/Inputs!$B$25)*(IF($A44&gt;=DATE(2026,10,31),290000,0)+IF($A44&gt;=DATE(2026,11,1),150000,0)+IF($A44&gt;=DATE(2026,11,4),520000,0))</f>
        <v>2411500</v>
      </c>
      <c r="K44" s="6">
        <f>G44+IF($A44&gt;=Inputs!$B$21,Inputs!$B$20,0)-IF($A44&gt;=DATE(2026,12,4),Loan_Schedule!$B$4,0)-IF($A44&gt;=DATE(2027,1,4),Loan_Schedule!$B$4,0)</f>
        <v>2310835.845512989</v>
      </c>
      <c r="L44" s="6">
        <f>F44+IF($A44&gt;=Inputs!$B$21,Inputs!$B$20,0)-IF($A44&gt;=DATE(2026,11,30),Inputs!$B$20+Loan_Schedule!$B$7,0)</f>
        <v>2228864.3835616438</v>
      </c>
      <c r="M44" s="6">
        <f>G44+IF($A44&gt;=Inputs!$B$21,Inputs!$B$20,0)-IF($A44&gt;=DATE(2026,11,30),Inputs!$B$20+Loan_Schedule!$B$7,0)</f>
        <v>2176932.9335616436</v>
      </c>
    </row>
    <row r="45" spans="1:13" x14ac:dyDescent="0.45">
      <c r="A45" s="3">
        <f>Forecast!A45</f>
        <v>46368</v>
      </c>
      <c r="B45" s="6">
        <f>SUMIFS(Outflows!$E$2:$E$18,Outflows!$B$2:$B$18,$A45,Outflows!$D$2:$D$18,"&lt;&gt;existing_emi_assumed")</f>
        <v>0</v>
      </c>
      <c r="C45" s="6">
        <f>SUMIFS(Outflows!$E$2:$E$18,Outflows!$B$2:$B$18,$A45,Outflows!$D$2:$D$18,"existing_emi_assumed")</f>
        <v>0</v>
      </c>
      <c r="D45" s="6">
        <f>Forecast!I45</f>
        <v>70000</v>
      </c>
      <c r="E45" s="6">
        <f>Forecast!H45</f>
        <v>78226.583333333343</v>
      </c>
      <c r="F45" s="6">
        <f t="shared" si="2"/>
        <v>2301500</v>
      </c>
      <c r="G45" s="6">
        <f t="shared" si="3"/>
        <v>2257795.1333333333</v>
      </c>
      <c r="H45" s="6">
        <f>F45+IF($A45&gt;=Inputs!$B$21,Inputs!$B$20,0)-IF($A45&gt;=DATE(2026,12,4),Loan_Schedule!$B$4,0)-IF($A45&gt;=DATE(2027,1,4),Loan_Schedule!$B$4,0)</f>
        <v>2432767.2955129892</v>
      </c>
      <c r="I45" s="6">
        <f>F45+IF(AND($A45&gt;=Inputs!$B$21,$A45&lt;Inputs!$B$23),Inputs!$B$22,0)</f>
        <v>2301500</v>
      </c>
      <c r="J45" s="6">
        <f>F45+(Inputs!$B$26/Inputs!$B$25)*(IF($A45&gt;=DATE(2026,10,31),290000,0)+IF($A45&gt;=DATE(2026,11,1),150000,0)+IF($A45&gt;=DATE(2026,11,4),520000,0))</f>
        <v>2481500</v>
      </c>
      <c r="K45" s="6">
        <f>G45+IF($A45&gt;=Inputs!$B$21,Inputs!$B$20,0)-IF($A45&gt;=DATE(2026,12,4),Loan_Schedule!$B$4,0)-IF($A45&gt;=DATE(2027,1,4),Loan_Schedule!$B$4,0)</f>
        <v>2389062.4288463225</v>
      </c>
      <c r="L45" s="6">
        <f>F45+IF($A45&gt;=Inputs!$B$21,Inputs!$B$20,0)-IF($A45&gt;=DATE(2026,11,30),Inputs!$B$20+Loan_Schedule!$B$7,0)</f>
        <v>2298864.3835616438</v>
      </c>
      <c r="M45" s="6">
        <f>G45+IF($A45&gt;=Inputs!$B$21,Inputs!$B$20,0)-IF($A45&gt;=DATE(2026,11,30),Inputs!$B$20+Loan_Schedule!$B$7,0)</f>
        <v>2255159.5168949771</v>
      </c>
    </row>
    <row r="46" spans="1:13" x14ac:dyDescent="0.45">
      <c r="A46" s="3">
        <f>Forecast!A46</f>
        <v>46369</v>
      </c>
      <c r="B46" s="6">
        <f>SUMIFS(Outflows!$E$2:$E$18,Outflows!$B$2:$B$18,$A46,Outflows!$D$2:$D$18,"&lt;&gt;existing_emi_assumed")</f>
        <v>0</v>
      </c>
      <c r="C46" s="6">
        <f>SUMIFS(Outflows!$E$2:$E$18,Outflows!$B$2:$B$18,$A46,Outflows!$D$2:$D$18,"existing_emi_assumed")</f>
        <v>0</v>
      </c>
      <c r="D46" s="6">
        <f>Forecast!I46</f>
        <v>70000</v>
      </c>
      <c r="E46" s="6">
        <f>Forecast!H46</f>
        <v>72711</v>
      </c>
      <c r="F46" s="6">
        <f t="shared" si="2"/>
        <v>2371500</v>
      </c>
      <c r="G46" s="6">
        <f t="shared" si="3"/>
        <v>2330506.1333333333</v>
      </c>
      <c r="H46" s="6">
        <f>F46+IF($A46&gt;=Inputs!$B$21,Inputs!$B$20,0)-IF($A46&gt;=DATE(2026,12,4),Loan_Schedule!$B$4,0)-IF($A46&gt;=DATE(2027,1,4),Loan_Schedule!$B$4,0)</f>
        <v>2502767.2955129892</v>
      </c>
      <c r="I46" s="6">
        <f>F46+IF(AND($A46&gt;=Inputs!$B$21,$A46&lt;Inputs!$B$23),Inputs!$B$22,0)</f>
        <v>2371500</v>
      </c>
      <c r="J46" s="6">
        <f>F46+(Inputs!$B$26/Inputs!$B$25)*(IF($A46&gt;=DATE(2026,10,31),290000,0)+IF($A46&gt;=DATE(2026,11,1),150000,0)+IF($A46&gt;=DATE(2026,11,4),520000,0))</f>
        <v>2551500</v>
      </c>
      <c r="K46" s="6">
        <f>G46+IF($A46&gt;=Inputs!$B$21,Inputs!$B$20,0)-IF($A46&gt;=DATE(2026,12,4),Loan_Schedule!$B$4,0)-IF($A46&gt;=DATE(2027,1,4),Loan_Schedule!$B$4,0)</f>
        <v>2461773.4288463225</v>
      </c>
      <c r="L46" s="6">
        <f>F46+IF($A46&gt;=Inputs!$B$21,Inputs!$B$20,0)-IF($A46&gt;=DATE(2026,11,30),Inputs!$B$20+Loan_Schedule!$B$7,0)</f>
        <v>2368864.3835616438</v>
      </c>
      <c r="M46" s="6">
        <f>G46+IF($A46&gt;=Inputs!$B$21,Inputs!$B$20,0)-IF($A46&gt;=DATE(2026,11,30),Inputs!$B$20+Loan_Schedule!$B$7,0)</f>
        <v>2327870.5168949771</v>
      </c>
    </row>
    <row r="47" spans="1:13" x14ac:dyDescent="0.45">
      <c r="A47" s="3">
        <f>Forecast!A47</f>
        <v>46370</v>
      </c>
      <c r="B47" s="6">
        <f>SUMIFS(Outflows!$E$2:$E$18,Outflows!$B$2:$B$18,$A47,Outflows!$D$2:$D$18,"&lt;&gt;existing_emi_assumed")</f>
        <v>0</v>
      </c>
      <c r="C47" s="6">
        <f>SUMIFS(Outflows!$E$2:$E$18,Outflows!$B$2:$B$18,$A47,Outflows!$D$2:$D$18,"existing_emi_assumed")</f>
        <v>0</v>
      </c>
      <c r="D47" s="6">
        <f>Forecast!I47</f>
        <v>70000</v>
      </c>
      <c r="E47" s="6">
        <f>Forecast!H47</f>
        <v>63994.666666666664</v>
      </c>
      <c r="F47" s="6">
        <f t="shared" si="2"/>
        <v>2441500</v>
      </c>
      <c r="G47" s="6">
        <f t="shared" si="3"/>
        <v>2394500.7999999998</v>
      </c>
      <c r="H47" s="6">
        <f>F47+IF($A47&gt;=Inputs!$B$21,Inputs!$B$20,0)-IF($A47&gt;=DATE(2026,12,4),Loan_Schedule!$B$4,0)-IF($A47&gt;=DATE(2027,1,4),Loan_Schedule!$B$4,0)</f>
        <v>2572767.2955129892</v>
      </c>
      <c r="I47" s="6">
        <f>F47+IF(AND($A47&gt;=Inputs!$B$21,$A47&lt;Inputs!$B$23),Inputs!$B$22,0)</f>
        <v>2441500</v>
      </c>
      <c r="J47" s="6">
        <f>F47+(Inputs!$B$26/Inputs!$B$25)*(IF($A47&gt;=DATE(2026,10,31),290000,0)+IF($A47&gt;=DATE(2026,11,1),150000,0)+IF($A47&gt;=DATE(2026,11,4),520000,0))</f>
        <v>2621500</v>
      </c>
      <c r="K47" s="6">
        <f>G47+IF($A47&gt;=Inputs!$B$21,Inputs!$B$20,0)-IF($A47&gt;=DATE(2026,12,4),Loan_Schedule!$B$4,0)-IF($A47&gt;=DATE(2027,1,4),Loan_Schedule!$B$4,0)</f>
        <v>2525768.095512989</v>
      </c>
      <c r="L47" s="6">
        <f>F47+IF($A47&gt;=Inputs!$B$21,Inputs!$B$20,0)-IF($A47&gt;=DATE(2026,11,30),Inputs!$B$20+Loan_Schedule!$B$7,0)</f>
        <v>2438864.3835616438</v>
      </c>
      <c r="M47" s="6">
        <f>G47+IF($A47&gt;=Inputs!$B$21,Inputs!$B$20,0)-IF($A47&gt;=DATE(2026,11,30),Inputs!$B$20+Loan_Schedule!$B$7,0)</f>
        <v>2391865.1835616436</v>
      </c>
    </row>
    <row r="48" spans="1:13" x14ac:dyDescent="0.45">
      <c r="A48" s="3">
        <f>Forecast!A48</f>
        <v>46371</v>
      </c>
      <c r="B48" s="6">
        <f>SUMIFS(Outflows!$E$2:$E$18,Outflows!$B$2:$B$18,$A48,Outflows!$D$2:$D$18,"&lt;&gt;existing_emi_assumed")</f>
        <v>0</v>
      </c>
      <c r="C48" s="6">
        <f>SUMIFS(Outflows!$E$2:$E$18,Outflows!$B$2:$B$18,$A48,Outflows!$D$2:$D$18,"existing_emi_assumed")</f>
        <v>0</v>
      </c>
      <c r="D48" s="6">
        <f>Forecast!I48</f>
        <v>70000</v>
      </c>
      <c r="E48" s="6">
        <f>Forecast!H48</f>
        <v>66386.916666666672</v>
      </c>
      <c r="F48" s="6">
        <f t="shared" si="2"/>
        <v>2511500</v>
      </c>
      <c r="G48" s="6">
        <f t="shared" si="3"/>
        <v>2460887.7166666663</v>
      </c>
      <c r="H48" s="6">
        <f>F48+IF($A48&gt;=Inputs!$B$21,Inputs!$B$20,0)-IF($A48&gt;=DATE(2026,12,4),Loan_Schedule!$B$4,0)-IF($A48&gt;=DATE(2027,1,4),Loan_Schedule!$B$4,0)</f>
        <v>2642767.2955129892</v>
      </c>
      <c r="I48" s="6">
        <f>F48+IF(AND($A48&gt;=Inputs!$B$21,$A48&lt;Inputs!$B$23),Inputs!$B$22,0)</f>
        <v>2511500</v>
      </c>
      <c r="J48" s="6">
        <f>F48+(Inputs!$B$26/Inputs!$B$25)*(IF($A48&gt;=DATE(2026,10,31),290000,0)+IF($A48&gt;=DATE(2026,11,1),150000,0)+IF($A48&gt;=DATE(2026,11,4),520000,0))</f>
        <v>2691500</v>
      </c>
      <c r="K48" s="6">
        <f>G48+IF($A48&gt;=Inputs!$B$21,Inputs!$B$20,0)-IF($A48&gt;=DATE(2026,12,4),Loan_Schedule!$B$4,0)-IF($A48&gt;=DATE(2027,1,4),Loan_Schedule!$B$4,0)</f>
        <v>2592155.0121796555</v>
      </c>
      <c r="L48" s="6">
        <f>F48+IF($A48&gt;=Inputs!$B$21,Inputs!$B$20,0)-IF($A48&gt;=DATE(2026,11,30),Inputs!$B$20+Loan_Schedule!$B$7,0)</f>
        <v>2508864.3835616438</v>
      </c>
      <c r="M48" s="6">
        <f>G48+IF($A48&gt;=Inputs!$B$21,Inputs!$B$20,0)-IF($A48&gt;=DATE(2026,11,30),Inputs!$B$20+Loan_Schedule!$B$7,0)</f>
        <v>2458252.1002283101</v>
      </c>
    </row>
    <row r="49" spans="1:13" x14ac:dyDescent="0.45">
      <c r="A49" s="3">
        <f>Forecast!A49</f>
        <v>46372</v>
      </c>
      <c r="B49" s="6">
        <f>SUMIFS(Outflows!$E$2:$E$18,Outflows!$B$2:$B$18,$A49,Outflows!$D$2:$D$18,"&lt;&gt;existing_emi_assumed")</f>
        <v>0</v>
      </c>
      <c r="C49" s="6">
        <f>SUMIFS(Outflows!$E$2:$E$18,Outflows!$B$2:$B$18,$A49,Outflows!$D$2:$D$18,"existing_emi_assumed")</f>
        <v>0</v>
      </c>
      <c r="D49" s="6">
        <f>Forecast!I49</f>
        <v>70000</v>
      </c>
      <c r="E49" s="6">
        <f>Forecast!H49</f>
        <v>68091.583333333343</v>
      </c>
      <c r="F49" s="6">
        <f t="shared" si="2"/>
        <v>2581500</v>
      </c>
      <c r="G49" s="6">
        <f t="shared" si="3"/>
        <v>2528979.2999999998</v>
      </c>
      <c r="H49" s="6">
        <f>F49+IF($A49&gt;=Inputs!$B$21,Inputs!$B$20,0)-IF($A49&gt;=DATE(2026,12,4),Loan_Schedule!$B$4,0)-IF($A49&gt;=DATE(2027,1,4),Loan_Schedule!$B$4,0)</f>
        <v>2712767.2955129892</v>
      </c>
      <c r="I49" s="6">
        <f>F49+IF(AND($A49&gt;=Inputs!$B$21,$A49&lt;Inputs!$B$23),Inputs!$B$22,0)</f>
        <v>2581500</v>
      </c>
      <c r="J49" s="6">
        <f>F49+(Inputs!$B$26/Inputs!$B$25)*(IF($A49&gt;=DATE(2026,10,31),290000,0)+IF($A49&gt;=DATE(2026,11,1),150000,0)+IF($A49&gt;=DATE(2026,11,4),520000,0))</f>
        <v>2761500</v>
      </c>
      <c r="K49" s="6">
        <f>G49+IF($A49&gt;=Inputs!$B$21,Inputs!$B$20,0)-IF($A49&gt;=DATE(2026,12,4),Loan_Schedule!$B$4,0)-IF($A49&gt;=DATE(2027,1,4),Loan_Schedule!$B$4,0)</f>
        <v>2660246.595512989</v>
      </c>
      <c r="L49" s="6">
        <f>F49+IF($A49&gt;=Inputs!$B$21,Inputs!$B$20,0)-IF($A49&gt;=DATE(2026,11,30),Inputs!$B$20+Loan_Schedule!$B$7,0)</f>
        <v>2578864.3835616438</v>
      </c>
      <c r="M49" s="6">
        <f>G49+IF($A49&gt;=Inputs!$B$21,Inputs!$B$20,0)-IF($A49&gt;=DATE(2026,11,30),Inputs!$B$20+Loan_Schedule!$B$7,0)</f>
        <v>2526343.6835616436</v>
      </c>
    </row>
    <row r="50" spans="1:13" x14ac:dyDescent="0.45">
      <c r="A50" s="3">
        <f>Forecast!A50</f>
        <v>46373</v>
      </c>
      <c r="B50" s="6">
        <f>SUMIFS(Outflows!$E$2:$E$18,Outflows!$B$2:$B$18,$A50,Outflows!$D$2:$D$18,"&lt;&gt;existing_emi_assumed")</f>
        <v>0</v>
      </c>
      <c r="C50" s="6">
        <f>SUMIFS(Outflows!$E$2:$E$18,Outflows!$B$2:$B$18,$A50,Outflows!$D$2:$D$18,"existing_emi_assumed")</f>
        <v>0</v>
      </c>
      <c r="D50" s="6">
        <f>Forecast!I50</f>
        <v>70000</v>
      </c>
      <c r="E50" s="6">
        <f>Forecast!H50</f>
        <v>69995.333333333328</v>
      </c>
      <c r="F50" s="6">
        <f t="shared" si="2"/>
        <v>2651500</v>
      </c>
      <c r="G50" s="6">
        <f t="shared" si="3"/>
        <v>2598974.6333333333</v>
      </c>
      <c r="H50" s="6">
        <f>F50+IF($A50&gt;=Inputs!$B$21,Inputs!$B$20,0)-IF($A50&gt;=DATE(2026,12,4),Loan_Schedule!$B$4,0)-IF($A50&gt;=DATE(2027,1,4),Loan_Schedule!$B$4,0)</f>
        <v>2782767.2955129892</v>
      </c>
      <c r="I50" s="6">
        <f>F50+IF(AND($A50&gt;=Inputs!$B$21,$A50&lt;Inputs!$B$23),Inputs!$B$22,0)</f>
        <v>2651500</v>
      </c>
      <c r="J50" s="6">
        <f>F50+(Inputs!$B$26/Inputs!$B$25)*(IF($A50&gt;=DATE(2026,10,31),290000,0)+IF($A50&gt;=DATE(2026,11,1),150000,0)+IF($A50&gt;=DATE(2026,11,4),520000,0))</f>
        <v>2831500</v>
      </c>
      <c r="K50" s="6">
        <f>G50+IF($A50&gt;=Inputs!$B$21,Inputs!$B$20,0)-IF($A50&gt;=DATE(2026,12,4),Loan_Schedule!$B$4,0)-IF($A50&gt;=DATE(2027,1,4),Loan_Schedule!$B$4,0)</f>
        <v>2730241.9288463225</v>
      </c>
      <c r="L50" s="6">
        <f>F50+IF($A50&gt;=Inputs!$B$21,Inputs!$B$20,0)-IF($A50&gt;=DATE(2026,11,30),Inputs!$B$20+Loan_Schedule!$B$7,0)</f>
        <v>2648864.3835616438</v>
      </c>
      <c r="M50" s="6">
        <f>G50+IF($A50&gt;=Inputs!$B$21,Inputs!$B$20,0)-IF($A50&gt;=DATE(2026,11,30),Inputs!$B$20+Loan_Schedule!$B$7,0)</f>
        <v>2596339.0168949771</v>
      </c>
    </row>
    <row r="51" spans="1:13" x14ac:dyDescent="0.45">
      <c r="A51" s="3">
        <f>Forecast!A51</f>
        <v>46374</v>
      </c>
      <c r="B51" s="6">
        <f>SUMIFS(Outflows!$E$2:$E$18,Outflows!$B$2:$B$18,$A51,Outflows!$D$2:$D$18,"&lt;&gt;existing_emi_assumed")</f>
        <v>0</v>
      </c>
      <c r="C51" s="6">
        <f>SUMIFS(Outflows!$E$2:$E$18,Outflows!$B$2:$B$18,$A51,Outflows!$D$2:$D$18,"existing_emi_assumed")</f>
        <v>0</v>
      </c>
      <c r="D51" s="6">
        <f>Forecast!I51</f>
        <v>70000</v>
      </c>
      <c r="E51" s="6">
        <f>Forecast!H51</f>
        <v>71603.416666666672</v>
      </c>
      <c r="F51" s="6">
        <f t="shared" si="2"/>
        <v>2721500</v>
      </c>
      <c r="G51" s="6">
        <f t="shared" si="3"/>
        <v>2670578.0499999998</v>
      </c>
      <c r="H51" s="6">
        <f>F51+IF($A51&gt;=Inputs!$B$21,Inputs!$B$20,0)-IF($A51&gt;=DATE(2026,12,4),Loan_Schedule!$B$4,0)-IF($A51&gt;=DATE(2027,1,4),Loan_Schedule!$B$4,0)</f>
        <v>2852767.2955129892</v>
      </c>
      <c r="I51" s="6">
        <f>F51+IF(AND($A51&gt;=Inputs!$B$21,$A51&lt;Inputs!$B$23),Inputs!$B$22,0)</f>
        <v>2721500</v>
      </c>
      <c r="J51" s="6">
        <f>F51+(Inputs!$B$26/Inputs!$B$25)*(IF($A51&gt;=DATE(2026,10,31),290000,0)+IF($A51&gt;=DATE(2026,11,1),150000,0)+IF($A51&gt;=DATE(2026,11,4),520000,0))</f>
        <v>2901500</v>
      </c>
      <c r="K51" s="6">
        <f>G51+IF($A51&gt;=Inputs!$B$21,Inputs!$B$20,0)-IF($A51&gt;=DATE(2026,12,4),Loan_Schedule!$B$4,0)-IF($A51&gt;=DATE(2027,1,4),Loan_Schedule!$B$4,0)</f>
        <v>2801845.345512989</v>
      </c>
      <c r="L51" s="6">
        <f>F51+IF($A51&gt;=Inputs!$B$21,Inputs!$B$20,0)-IF($A51&gt;=DATE(2026,11,30),Inputs!$B$20+Loan_Schedule!$B$7,0)</f>
        <v>2718864.3835616438</v>
      </c>
      <c r="M51" s="6">
        <f>G51+IF($A51&gt;=Inputs!$B$21,Inputs!$B$20,0)-IF($A51&gt;=DATE(2026,11,30),Inputs!$B$20+Loan_Schedule!$B$7,0)</f>
        <v>2667942.4335616436</v>
      </c>
    </row>
    <row r="52" spans="1:13" x14ac:dyDescent="0.45">
      <c r="A52" s="3">
        <f>Forecast!A52</f>
        <v>46375</v>
      </c>
      <c r="B52" s="6">
        <f>SUMIFS(Outflows!$E$2:$E$18,Outflows!$B$2:$B$18,$A52,Outflows!$D$2:$D$18,"&lt;&gt;existing_emi_assumed")</f>
        <v>0</v>
      </c>
      <c r="C52" s="6">
        <f>SUMIFS(Outflows!$E$2:$E$18,Outflows!$B$2:$B$18,$A52,Outflows!$D$2:$D$18,"existing_emi_assumed")</f>
        <v>0</v>
      </c>
      <c r="D52" s="6">
        <f>Forecast!I52</f>
        <v>70000</v>
      </c>
      <c r="E52" s="6">
        <f>Forecast!H52</f>
        <v>78226.583333333343</v>
      </c>
      <c r="F52" s="6">
        <f t="shared" si="2"/>
        <v>2791500</v>
      </c>
      <c r="G52" s="6">
        <f t="shared" si="3"/>
        <v>2748804.6333333333</v>
      </c>
      <c r="H52" s="6">
        <f>F52+IF($A52&gt;=Inputs!$B$21,Inputs!$B$20,0)-IF($A52&gt;=DATE(2026,12,4),Loan_Schedule!$B$4,0)-IF($A52&gt;=DATE(2027,1,4),Loan_Schedule!$B$4,0)</f>
        <v>2922767.2955129892</v>
      </c>
      <c r="I52" s="6">
        <f>F52+IF(AND($A52&gt;=Inputs!$B$21,$A52&lt;Inputs!$B$23),Inputs!$B$22,0)</f>
        <v>2791500</v>
      </c>
      <c r="J52" s="6">
        <f>F52+(Inputs!$B$26/Inputs!$B$25)*(IF($A52&gt;=DATE(2026,10,31),290000,0)+IF($A52&gt;=DATE(2026,11,1),150000,0)+IF($A52&gt;=DATE(2026,11,4),520000,0))</f>
        <v>2971500</v>
      </c>
      <c r="K52" s="6">
        <f>G52+IF($A52&gt;=Inputs!$B$21,Inputs!$B$20,0)-IF($A52&gt;=DATE(2026,12,4),Loan_Schedule!$B$4,0)-IF($A52&gt;=DATE(2027,1,4),Loan_Schedule!$B$4,0)</f>
        <v>2880071.9288463225</v>
      </c>
      <c r="L52" s="6">
        <f>F52+IF($A52&gt;=Inputs!$B$21,Inputs!$B$20,0)-IF($A52&gt;=DATE(2026,11,30),Inputs!$B$20+Loan_Schedule!$B$7,0)</f>
        <v>2788864.3835616438</v>
      </c>
      <c r="M52" s="6">
        <f>G52+IF($A52&gt;=Inputs!$B$21,Inputs!$B$20,0)-IF($A52&gt;=DATE(2026,11,30),Inputs!$B$20+Loan_Schedule!$B$7,0)</f>
        <v>2746169.0168949771</v>
      </c>
    </row>
    <row r="53" spans="1:13" x14ac:dyDescent="0.45">
      <c r="A53" s="3">
        <f>Forecast!A53</f>
        <v>46376</v>
      </c>
      <c r="B53" s="6">
        <f>SUMIFS(Outflows!$E$2:$E$18,Outflows!$B$2:$B$18,$A53,Outflows!$D$2:$D$18,"&lt;&gt;existing_emi_assumed")</f>
        <v>42000</v>
      </c>
      <c r="C53" s="6">
        <f>SUMIFS(Outflows!$E$2:$E$18,Outflows!$B$2:$B$18,$A53,Outflows!$D$2:$D$18,"existing_emi_assumed")</f>
        <v>0</v>
      </c>
      <c r="D53" s="6">
        <f>Forecast!I53</f>
        <v>70000</v>
      </c>
      <c r="E53" s="6">
        <f>Forecast!H53</f>
        <v>72711</v>
      </c>
      <c r="F53" s="6">
        <f t="shared" si="2"/>
        <v>2819500</v>
      </c>
      <c r="G53" s="6">
        <f t="shared" si="3"/>
        <v>2779515.6333333333</v>
      </c>
      <c r="H53" s="6">
        <f>F53+IF($A53&gt;=Inputs!$B$21,Inputs!$B$20,0)-IF($A53&gt;=DATE(2026,12,4),Loan_Schedule!$B$4,0)-IF($A53&gt;=DATE(2027,1,4),Loan_Schedule!$B$4,0)</f>
        <v>2950767.2955129892</v>
      </c>
      <c r="I53" s="6">
        <f>F53+IF(AND($A53&gt;=Inputs!$B$21,$A53&lt;Inputs!$B$23),Inputs!$B$22,0)</f>
        <v>2819500</v>
      </c>
      <c r="J53" s="6">
        <f>F53+(Inputs!$B$26/Inputs!$B$25)*(IF($A53&gt;=DATE(2026,10,31),290000,0)+IF($A53&gt;=DATE(2026,11,1),150000,0)+IF($A53&gt;=DATE(2026,11,4),520000,0))</f>
        <v>2999500</v>
      </c>
      <c r="K53" s="6">
        <f>G53+IF($A53&gt;=Inputs!$B$21,Inputs!$B$20,0)-IF($A53&gt;=DATE(2026,12,4),Loan_Schedule!$B$4,0)-IF($A53&gt;=DATE(2027,1,4),Loan_Schedule!$B$4,0)</f>
        <v>2910782.9288463225</v>
      </c>
      <c r="L53" s="6">
        <f>F53+IF($A53&gt;=Inputs!$B$21,Inputs!$B$20,0)-IF($A53&gt;=DATE(2026,11,30),Inputs!$B$20+Loan_Schedule!$B$7,0)</f>
        <v>2816864.3835616438</v>
      </c>
      <c r="M53" s="6">
        <f>G53+IF($A53&gt;=Inputs!$B$21,Inputs!$B$20,0)-IF($A53&gt;=DATE(2026,11,30),Inputs!$B$20+Loan_Schedule!$B$7,0)</f>
        <v>2776880.0168949771</v>
      </c>
    </row>
    <row r="54" spans="1:13" x14ac:dyDescent="0.45">
      <c r="A54" s="3">
        <f>Forecast!A54</f>
        <v>46377</v>
      </c>
      <c r="B54" s="6">
        <f>SUMIFS(Outflows!$E$2:$E$18,Outflows!$B$2:$B$18,$A54,Outflows!$D$2:$D$18,"&lt;&gt;existing_emi_assumed")</f>
        <v>0</v>
      </c>
      <c r="C54" s="6">
        <f>SUMIFS(Outflows!$E$2:$E$18,Outflows!$B$2:$B$18,$A54,Outflows!$D$2:$D$18,"existing_emi_assumed")</f>
        <v>0</v>
      </c>
      <c r="D54" s="6">
        <f>Forecast!I54</f>
        <v>70000</v>
      </c>
      <c r="E54" s="6">
        <f>Forecast!H54</f>
        <v>63994.666666666664</v>
      </c>
      <c r="F54" s="6">
        <f t="shared" si="2"/>
        <v>2889500</v>
      </c>
      <c r="G54" s="6">
        <f t="shared" si="3"/>
        <v>2843510.3</v>
      </c>
      <c r="H54" s="6">
        <f>F54+IF($A54&gt;=Inputs!$B$21,Inputs!$B$20,0)-IF($A54&gt;=DATE(2026,12,4),Loan_Schedule!$B$4,0)-IF($A54&gt;=DATE(2027,1,4),Loan_Schedule!$B$4,0)</f>
        <v>3020767.2955129892</v>
      </c>
      <c r="I54" s="6">
        <f>F54+IF(AND($A54&gt;=Inputs!$B$21,$A54&lt;Inputs!$B$23),Inputs!$B$22,0)</f>
        <v>2889500</v>
      </c>
      <c r="J54" s="6">
        <f>F54+(Inputs!$B$26/Inputs!$B$25)*(IF($A54&gt;=DATE(2026,10,31),290000,0)+IF($A54&gt;=DATE(2026,11,1),150000,0)+IF($A54&gt;=DATE(2026,11,4),520000,0))</f>
        <v>3069500</v>
      </c>
      <c r="K54" s="6">
        <f>G54+IF($A54&gt;=Inputs!$B$21,Inputs!$B$20,0)-IF($A54&gt;=DATE(2026,12,4),Loan_Schedule!$B$4,0)-IF($A54&gt;=DATE(2027,1,4),Loan_Schedule!$B$4,0)</f>
        <v>2974777.595512989</v>
      </c>
      <c r="L54" s="6">
        <f>F54+IF($A54&gt;=Inputs!$B$21,Inputs!$B$20,0)-IF($A54&gt;=DATE(2026,11,30),Inputs!$B$20+Loan_Schedule!$B$7,0)</f>
        <v>2886864.3835616438</v>
      </c>
      <c r="M54" s="6">
        <f>G54+IF($A54&gt;=Inputs!$B$21,Inputs!$B$20,0)-IF($A54&gt;=DATE(2026,11,30),Inputs!$B$20+Loan_Schedule!$B$7,0)</f>
        <v>2840874.6835616436</v>
      </c>
    </row>
    <row r="55" spans="1:13" x14ac:dyDescent="0.45">
      <c r="A55" s="3">
        <f>Forecast!A55</f>
        <v>46378</v>
      </c>
      <c r="B55" s="6">
        <f>SUMIFS(Outflows!$E$2:$E$18,Outflows!$B$2:$B$18,$A55,Outflows!$D$2:$D$18,"&lt;&gt;existing_emi_assumed")</f>
        <v>0</v>
      </c>
      <c r="C55" s="6">
        <f>SUMIFS(Outflows!$E$2:$E$18,Outflows!$B$2:$B$18,$A55,Outflows!$D$2:$D$18,"existing_emi_assumed")</f>
        <v>0</v>
      </c>
      <c r="D55" s="6">
        <f>Forecast!I55</f>
        <v>70000</v>
      </c>
      <c r="E55" s="6">
        <f>Forecast!H55</f>
        <v>66386.916666666672</v>
      </c>
      <c r="F55" s="6">
        <f t="shared" si="2"/>
        <v>2959500</v>
      </c>
      <c r="G55" s="6">
        <f t="shared" si="3"/>
        <v>2909897.2166666663</v>
      </c>
      <c r="H55" s="6">
        <f>F55+IF($A55&gt;=Inputs!$B$21,Inputs!$B$20,0)-IF($A55&gt;=DATE(2026,12,4),Loan_Schedule!$B$4,0)-IF($A55&gt;=DATE(2027,1,4),Loan_Schedule!$B$4,0)</f>
        <v>3090767.2955129892</v>
      </c>
      <c r="I55" s="6">
        <f>F55+IF(AND($A55&gt;=Inputs!$B$21,$A55&lt;Inputs!$B$23),Inputs!$B$22,0)</f>
        <v>2959500</v>
      </c>
      <c r="J55" s="6">
        <f>F55+(Inputs!$B$26/Inputs!$B$25)*(IF($A55&gt;=DATE(2026,10,31),290000,0)+IF($A55&gt;=DATE(2026,11,1),150000,0)+IF($A55&gt;=DATE(2026,11,4),520000,0))</f>
        <v>3139500</v>
      </c>
      <c r="K55" s="6">
        <f>G55+IF($A55&gt;=Inputs!$B$21,Inputs!$B$20,0)-IF($A55&gt;=DATE(2026,12,4),Loan_Schedule!$B$4,0)-IF($A55&gt;=DATE(2027,1,4),Loan_Schedule!$B$4,0)</f>
        <v>3041164.5121796555</v>
      </c>
      <c r="L55" s="6">
        <f>F55+IF($A55&gt;=Inputs!$B$21,Inputs!$B$20,0)-IF($A55&gt;=DATE(2026,11,30),Inputs!$B$20+Loan_Schedule!$B$7,0)</f>
        <v>2956864.3835616438</v>
      </c>
      <c r="M55" s="6">
        <f>G55+IF($A55&gt;=Inputs!$B$21,Inputs!$B$20,0)-IF($A55&gt;=DATE(2026,11,30),Inputs!$B$20+Loan_Schedule!$B$7,0)</f>
        <v>2907261.6002283101</v>
      </c>
    </row>
    <row r="56" spans="1:13" x14ac:dyDescent="0.45">
      <c r="A56" s="3">
        <f>Forecast!A56</f>
        <v>46379</v>
      </c>
      <c r="B56" s="6">
        <f>SUMIFS(Outflows!$E$2:$E$18,Outflows!$B$2:$B$18,$A56,Outflows!$D$2:$D$18,"&lt;&gt;existing_emi_assumed")</f>
        <v>0</v>
      </c>
      <c r="C56" s="6">
        <f>SUMIFS(Outflows!$E$2:$E$18,Outflows!$B$2:$B$18,$A56,Outflows!$D$2:$D$18,"existing_emi_assumed")</f>
        <v>0</v>
      </c>
      <c r="D56" s="6">
        <f>Forecast!I56</f>
        <v>70000</v>
      </c>
      <c r="E56" s="6">
        <f>Forecast!H56</f>
        <v>68091.583333333343</v>
      </c>
      <c r="F56" s="6">
        <f t="shared" si="2"/>
        <v>3029500</v>
      </c>
      <c r="G56" s="6">
        <f t="shared" si="3"/>
        <v>2977988.8</v>
      </c>
      <c r="H56" s="6">
        <f>F56+IF($A56&gt;=Inputs!$B$21,Inputs!$B$20,0)-IF($A56&gt;=DATE(2026,12,4),Loan_Schedule!$B$4,0)-IF($A56&gt;=DATE(2027,1,4),Loan_Schedule!$B$4,0)</f>
        <v>3160767.2955129892</v>
      </c>
      <c r="I56" s="6">
        <f>F56+IF(AND($A56&gt;=Inputs!$B$21,$A56&lt;Inputs!$B$23),Inputs!$B$22,0)</f>
        <v>3029500</v>
      </c>
      <c r="J56" s="6">
        <f>F56+(Inputs!$B$26/Inputs!$B$25)*(IF($A56&gt;=DATE(2026,10,31),290000,0)+IF($A56&gt;=DATE(2026,11,1),150000,0)+IF($A56&gt;=DATE(2026,11,4),520000,0))</f>
        <v>3209500</v>
      </c>
      <c r="K56" s="6">
        <f>G56+IF($A56&gt;=Inputs!$B$21,Inputs!$B$20,0)-IF($A56&gt;=DATE(2026,12,4),Loan_Schedule!$B$4,0)-IF($A56&gt;=DATE(2027,1,4),Loan_Schedule!$B$4,0)</f>
        <v>3109256.095512989</v>
      </c>
      <c r="L56" s="6">
        <f>F56+IF($A56&gt;=Inputs!$B$21,Inputs!$B$20,0)-IF($A56&gt;=DATE(2026,11,30),Inputs!$B$20+Loan_Schedule!$B$7,0)</f>
        <v>3026864.3835616438</v>
      </c>
      <c r="M56" s="6">
        <f>G56+IF($A56&gt;=Inputs!$B$21,Inputs!$B$20,0)-IF($A56&gt;=DATE(2026,11,30),Inputs!$B$20+Loan_Schedule!$B$7,0)</f>
        <v>2975353.1835616436</v>
      </c>
    </row>
    <row r="57" spans="1:13" x14ac:dyDescent="0.45">
      <c r="A57" s="3">
        <f>Forecast!A57</f>
        <v>46380</v>
      </c>
      <c r="B57" s="6">
        <f>SUMIFS(Outflows!$E$2:$E$18,Outflows!$B$2:$B$18,$A57,Outflows!$D$2:$D$18,"&lt;&gt;existing_emi_assumed")</f>
        <v>0</v>
      </c>
      <c r="C57" s="6">
        <f>SUMIFS(Outflows!$E$2:$E$18,Outflows!$B$2:$B$18,$A57,Outflows!$D$2:$D$18,"existing_emi_assumed")</f>
        <v>0</v>
      </c>
      <c r="D57" s="6">
        <f>Forecast!I57</f>
        <v>70000</v>
      </c>
      <c r="E57" s="6">
        <f>Forecast!H57</f>
        <v>69995.333333333328</v>
      </c>
      <c r="F57" s="6">
        <f t="shared" si="2"/>
        <v>3099500</v>
      </c>
      <c r="G57" s="6">
        <f t="shared" si="3"/>
        <v>3047984.1333333333</v>
      </c>
      <c r="H57" s="6">
        <f>F57+IF($A57&gt;=Inputs!$B$21,Inputs!$B$20,0)-IF($A57&gt;=DATE(2026,12,4),Loan_Schedule!$B$4,0)-IF($A57&gt;=DATE(2027,1,4),Loan_Schedule!$B$4,0)</f>
        <v>3230767.2955129892</v>
      </c>
      <c r="I57" s="6">
        <f>F57+IF(AND($A57&gt;=Inputs!$B$21,$A57&lt;Inputs!$B$23),Inputs!$B$22,0)</f>
        <v>3099500</v>
      </c>
      <c r="J57" s="6">
        <f>F57+(Inputs!$B$26/Inputs!$B$25)*(IF($A57&gt;=DATE(2026,10,31),290000,0)+IF($A57&gt;=DATE(2026,11,1),150000,0)+IF($A57&gt;=DATE(2026,11,4),520000,0))</f>
        <v>3279500</v>
      </c>
      <c r="K57" s="6">
        <f>G57+IF($A57&gt;=Inputs!$B$21,Inputs!$B$20,0)-IF($A57&gt;=DATE(2026,12,4),Loan_Schedule!$B$4,0)-IF($A57&gt;=DATE(2027,1,4),Loan_Schedule!$B$4,0)</f>
        <v>3179251.4288463225</v>
      </c>
      <c r="L57" s="6">
        <f>F57+IF($A57&gt;=Inputs!$B$21,Inputs!$B$20,0)-IF($A57&gt;=DATE(2026,11,30),Inputs!$B$20+Loan_Schedule!$B$7,0)</f>
        <v>3096864.3835616438</v>
      </c>
      <c r="M57" s="6">
        <f>G57+IF($A57&gt;=Inputs!$B$21,Inputs!$B$20,0)-IF($A57&gt;=DATE(2026,11,30),Inputs!$B$20+Loan_Schedule!$B$7,0)</f>
        <v>3045348.5168949771</v>
      </c>
    </row>
    <row r="58" spans="1:13" x14ac:dyDescent="0.45">
      <c r="A58" s="3">
        <f>Forecast!A58</f>
        <v>46381</v>
      </c>
      <c r="B58" s="6">
        <f>SUMIFS(Outflows!$E$2:$E$18,Outflows!$B$2:$B$18,$A58,Outflows!$D$2:$D$18,"&lt;&gt;existing_emi_assumed")</f>
        <v>0</v>
      </c>
      <c r="C58" s="6">
        <f>SUMIFS(Outflows!$E$2:$E$18,Outflows!$B$2:$B$18,$A58,Outflows!$D$2:$D$18,"existing_emi_assumed")</f>
        <v>0</v>
      </c>
      <c r="D58" s="6">
        <f>Forecast!I58</f>
        <v>70000</v>
      </c>
      <c r="E58" s="6">
        <f>Forecast!H58</f>
        <v>71603.416666666672</v>
      </c>
      <c r="F58" s="6">
        <f t="shared" si="2"/>
        <v>3169500</v>
      </c>
      <c r="G58" s="6">
        <f t="shared" si="3"/>
        <v>3119587.55</v>
      </c>
      <c r="H58" s="6">
        <f>F58+IF($A58&gt;=Inputs!$B$21,Inputs!$B$20,0)-IF($A58&gt;=DATE(2026,12,4),Loan_Schedule!$B$4,0)-IF($A58&gt;=DATE(2027,1,4),Loan_Schedule!$B$4,0)</f>
        <v>3300767.2955129892</v>
      </c>
      <c r="I58" s="6">
        <f>F58+IF(AND($A58&gt;=Inputs!$B$21,$A58&lt;Inputs!$B$23),Inputs!$B$22,0)</f>
        <v>3169500</v>
      </c>
      <c r="J58" s="6">
        <f>F58+(Inputs!$B$26/Inputs!$B$25)*(IF($A58&gt;=DATE(2026,10,31),290000,0)+IF($A58&gt;=DATE(2026,11,1),150000,0)+IF($A58&gt;=DATE(2026,11,4),520000,0))</f>
        <v>3349500</v>
      </c>
      <c r="K58" s="6">
        <f>G58+IF($A58&gt;=Inputs!$B$21,Inputs!$B$20,0)-IF($A58&gt;=DATE(2026,12,4),Loan_Schedule!$B$4,0)-IF($A58&gt;=DATE(2027,1,4),Loan_Schedule!$B$4,0)</f>
        <v>3250854.845512989</v>
      </c>
      <c r="L58" s="6">
        <f>F58+IF($A58&gt;=Inputs!$B$21,Inputs!$B$20,0)-IF($A58&gt;=DATE(2026,11,30),Inputs!$B$20+Loan_Schedule!$B$7,0)</f>
        <v>3166864.3835616438</v>
      </c>
      <c r="M58" s="6">
        <f>G58+IF($A58&gt;=Inputs!$B$21,Inputs!$B$20,0)-IF($A58&gt;=DATE(2026,11,30),Inputs!$B$20+Loan_Schedule!$B$7,0)</f>
        <v>3116951.9335616436</v>
      </c>
    </row>
    <row r="59" spans="1:13" x14ac:dyDescent="0.45">
      <c r="A59" s="3">
        <f>Forecast!A59</f>
        <v>46382</v>
      </c>
      <c r="B59" s="6">
        <f>SUMIFS(Outflows!$E$2:$E$18,Outflows!$B$2:$B$18,$A59,Outflows!$D$2:$D$18,"&lt;&gt;existing_emi_assumed")</f>
        <v>0</v>
      </c>
      <c r="C59" s="6">
        <f>SUMIFS(Outflows!$E$2:$E$18,Outflows!$B$2:$B$18,$A59,Outflows!$D$2:$D$18,"existing_emi_assumed")</f>
        <v>0</v>
      </c>
      <c r="D59" s="6">
        <f>Forecast!I59</f>
        <v>70000</v>
      </c>
      <c r="E59" s="6">
        <f>Forecast!H59</f>
        <v>78226.583333333343</v>
      </c>
      <c r="F59" s="6">
        <f t="shared" si="2"/>
        <v>3239500</v>
      </c>
      <c r="G59" s="6">
        <f t="shared" si="3"/>
        <v>3197814.1333333333</v>
      </c>
      <c r="H59" s="6">
        <f>F59+IF($A59&gt;=Inputs!$B$21,Inputs!$B$20,0)-IF($A59&gt;=DATE(2026,12,4),Loan_Schedule!$B$4,0)-IF($A59&gt;=DATE(2027,1,4),Loan_Schedule!$B$4,0)</f>
        <v>3370767.2955129892</v>
      </c>
      <c r="I59" s="6">
        <f>F59+IF(AND($A59&gt;=Inputs!$B$21,$A59&lt;Inputs!$B$23),Inputs!$B$22,0)</f>
        <v>3239500</v>
      </c>
      <c r="J59" s="6">
        <f>F59+(Inputs!$B$26/Inputs!$B$25)*(IF($A59&gt;=DATE(2026,10,31),290000,0)+IF($A59&gt;=DATE(2026,11,1),150000,0)+IF($A59&gt;=DATE(2026,11,4),520000,0))</f>
        <v>3419500</v>
      </c>
      <c r="K59" s="6">
        <f>G59+IF($A59&gt;=Inputs!$B$21,Inputs!$B$20,0)-IF($A59&gt;=DATE(2026,12,4),Loan_Schedule!$B$4,0)-IF($A59&gt;=DATE(2027,1,4),Loan_Schedule!$B$4,0)</f>
        <v>3329081.4288463225</v>
      </c>
      <c r="L59" s="6">
        <f>F59+IF($A59&gt;=Inputs!$B$21,Inputs!$B$20,0)-IF($A59&gt;=DATE(2026,11,30),Inputs!$B$20+Loan_Schedule!$B$7,0)</f>
        <v>3236864.3835616438</v>
      </c>
      <c r="M59" s="6">
        <f>G59+IF($A59&gt;=Inputs!$B$21,Inputs!$B$20,0)-IF($A59&gt;=DATE(2026,11,30),Inputs!$B$20+Loan_Schedule!$B$7,0)</f>
        <v>3195178.5168949771</v>
      </c>
    </row>
    <row r="60" spans="1:13" x14ac:dyDescent="0.45">
      <c r="A60" s="3">
        <f>Forecast!A60</f>
        <v>46383</v>
      </c>
      <c r="B60" s="6">
        <f>SUMIFS(Outflows!$E$2:$E$18,Outflows!$B$2:$B$18,$A60,Outflows!$D$2:$D$18,"&lt;&gt;existing_emi_assumed")</f>
        <v>0</v>
      </c>
      <c r="C60" s="6">
        <f>SUMIFS(Outflows!$E$2:$E$18,Outflows!$B$2:$B$18,$A60,Outflows!$D$2:$D$18,"existing_emi_assumed")</f>
        <v>0</v>
      </c>
      <c r="D60" s="6">
        <f>Forecast!I60</f>
        <v>70000</v>
      </c>
      <c r="E60" s="6">
        <f>Forecast!H60</f>
        <v>72711</v>
      </c>
      <c r="F60" s="6">
        <f t="shared" si="2"/>
        <v>3309500</v>
      </c>
      <c r="G60" s="6">
        <f t="shared" si="3"/>
        <v>3270525.1333333333</v>
      </c>
      <c r="H60" s="6">
        <f>F60+IF($A60&gt;=Inputs!$B$21,Inputs!$B$20,0)-IF($A60&gt;=DATE(2026,12,4),Loan_Schedule!$B$4,0)-IF($A60&gt;=DATE(2027,1,4),Loan_Schedule!$B$4,0)</f>
        <v>3440767.2955129892</v>
      </c>
      <c r="I60" s="6">
        <f>F60+IF(AND($A60&gt;=Inputs!$B$21,$A60&lt;Inputs!$B$23),Inputs!$B$22,0)</f>
        <v>3309500</v>
      </c>
      <c r="J60" s="6">
        <f>F60+(Inputs!$B$26/Inputs!$B$25)*(IF($A60&gt;=DATE(2026,10,31),290000,0)+IF($A60&gt;=DATE(2026,11,1),150000,0)+IF($A60&gt;=DATE(2026,11,4),520000,0))</f>
        <v>3489500</v>
      </c>
      <c r="K60" s="6">
        <f>G60+IF($A60&gt;=Inputs!$B$21,Inputs!$B$20,0)-IF($A60&gt;=DATE(2026,12,4),Loan_Schedule!$B$4,0)-IF($A60&gt;=DATE(2027,1,4),Loan_Schedule!$B$4,0)</f>
        <v>3401792.4288463225</v>
      </c>
      <c r="L60" s="6">
        <f>F60+IF($A60&gt;=Inputs!$B$21,Inputs!$B$20,0)-IF($A60&gt;=DATE(2026,11,30),Inputs!$B$20+Loan_Schedule!$B$7,0)</f>
        <v>3306864.3835616438</v>
      </c>
      <c r="M60" s="6">
        <f>G60+IF($A60&gt;=Inputs!$B$21,Inputs!$B$20,0)-IF($A60&gt;=DATE(2026,11,30),Inputs!$B$20+Loan_Schedule!$B$7,0)</f>
        <v>3267889.5168949771</v>
      </c>
    </row>
    <row r="61" spans="1:13" x14ac:dyDescent="0.45">
      <c r="A61" s="3">
        <f>Forecast!A61</f>
        <v>46384</v>
      </c>
      <c r="B61" s="6">
        <f>SUMIFS(Outflows!$E$2:$E$18,Outflows!$B$2:$B$18,$A61,Outflows!$D$2:$D$18,"&lt;&gt;existing_emi_assumed")</f>
        <v>0</v>
      </c>
      <c r="C61" s="6">
        <f>SUMIFS(Outflows!$E$2:$E$18,Outflows!$B$2:$B$18,$A61,Outflows!$D$2:$D$18,"existing_emi_assumed")</f>
        <v>0</v>
      </c>
      <c r="D61" s="6">
        <f>Forecast!I61</f>
        <v>70000</v>
      </c>
      <c r="E61" s="6">
        <f>Forecast!H61</f>
        <v>63994.666666666664</v>
      </c>
      <c r="F61" s="6">
        <f t="shared" si="2"/>
        <v>3379500</v>
      </c>
      <c r="G61" s="6">
        <f t="shared" si="3"/>
        <v>3334519.8</v>
      </c>
      <c r="H61" s="6">
        <f>F61+IF($A61&gt;=Inputs!$B$21,Inputs!$B$20,0)-IF($A61&gt;=DATE(2026,12,4),Loan_Schedule!$B$4,0)-IF($A61&gt;=DATE(2027,1,4),Loan_Schedule!$B$4,0)</f>
        <v>3510767.2955129892</v>
      </c>
      <c r="I61" s="6">
        <f>F61+IF(AND($A61&gt;=Inputs!$B$21,$A61&lt;Inputs!$B$23),Inputs!$B$22,0)</f>
        <v>3379500</v>
      </c>
      <c r="J61" s="6">
        <f>F61+(Inputs!$B$26/Inputs!$B$25)*(IF($A61&gt;=DATE(2026,10,31),290000,0)+IF($A61&gt;=DATE(2026,11,1),150000,0)+IF($A61&gt;=DATE(2026,11,4),520000,0))</f>
        <v>3559500</v>
      </c>
      <c r="K61" s="6">
        <f>G61+IF($A61&gt;=Inputs!$B$21,Inputs!$B$20,0)-IF($A61&gt;=DATE(2026,12,4),Loan_Schedule!$B$4,0)-IF($A61&gt;=DATE(2027,1,4),Loan_Schedule!$B$4,0)</f>
        <v>3465787.095512989</v>
      </c>
      <c r="L61" s="6">
        <f>F61+IF($A61&gt;=Inputs!$B$21,Inputs!$B$20,0)-IF($A61&gt;=DATE(2026,11,30),Inputs!$B$20+Loan_Schedule!$B$7,0)</f>
        <v>3376864.3835616438</v>
      </c>
      <c r="M61" s="6">
        <f>G61+IF($A61&gt;=Inputs!$B$21,Inputs!$B$20,0)-IF($A61&gt;=DATE(2026,11,30),Inputs!$B$20+Loan_Schedule!$B$7,0)</f>
        <v>3331884.1835616436</v>
      </c>
    </row>
    <row r="62" spans="1:13" x14ac:dyDescent="0.45">
      <c r="A62" s="3">
        <f>Forecast!A62</f>
        <v>46385</v>
      </c>
      <c r="B62" s="6">
        <f>SUMIFS(Outflows!$E$2:$E$18,Outflows!$B$2:$B$18,$A62,Outflows!$D$2:$D$18,"&lt;&gt;existing_emi_assumed")</f>
        <v>0</v>
      </c>
      <c r="C62" s="6">
        <f>SUMIFS(Outflows!$E$2:$E$18,Outflows!$B$2:$B$18,$A62,Outflows!$D$2:$D$18,"existing_emi_assumed")</f>
        <v>0</v>
      </c>
      <c r="D62" s="6">
        <f>Forecast!I62</f>
        <v>70000</v>
      </c>
      <c r="E62" s="6">
        <f>Forecast!H62</f>
        <v>66386.916666666672</v>
      </c>
      <c r="F62" s="6">
        <f t="shared" si="2"/>
        <v>3449500</v>
      </c>
      <c r="G62" s="6">
        <f t="shared" si="3"/>
        <v>3400906.7166666663</v>
      </c>
      <c r="H62" s="6">
        <f>F62+IF($A62&gt;=Inputs!$B$21,Inputs!$B$20,0)-IF($A62&gt;=DATE(2026,12,4),Loan_Schedule!$B$4,0)-IF($A62&gt;=DATE(2027,1,4),Loan_Schedule!$B$4,0)</f>
        <v>3580767.2955129892</v>
      </c>
      <c r="I62" s="6">
        <f>F62+IF(AND($A62&gt;=Inputs!$B$21,$A62&lt;Inputs!$B$23),Inputs!$B$22,0)</f>
        <v>3449500</v>
      </c>
      <c r="J62" s="6">
        <f>F62+(Inputs!$B$26/Inputs!$B$25)*(IF($A62&gt;=DATE(2026,10,31),290000,0)+IF($A62&gt;=DATE(2026,11,1),150000,0)+IF($A62&gt;=DATE(2026,11,4),520000,0))</f>
        <v>3629500</v>
      </c>
      <c r="K62" s="6">
        <f>G62+IF($A62&gt;=Inputs!$B$21,Inputs!$B$20,0)-IF($A62&gt;=DATE(2026,12,4),Loan_Schedule!$B$4,0)-IF($A62&gt;=DATE(2027,1,4),Loan_Schedule!$B$4,0)</f>
        <v>3532174.0121796555</v>
      </c>
      <c r="L62" s="6">
        <f>F62+IF($A62&gt;=Inputs!$B$21,Inputs!$B$20,0)-IF($A62&gt;=DATE(2026,11,30),Inputs!$B$20+Loan_Schedule!$B$7,0)</f>
        <v>3446864.3835616438</v>
      </c>
      <c r="M62" s="6">
        <f>G62+IF($A62&gt;=Inputs!$B$21,Inputs!$B$20,0)-IF($A62&gt;=DATE(2026,11,30),Inputs!$B$20+Loan_Schedule!$B$7,0)</f>
        <v>3398271.1002283101</v>
      </c>
    </row>
    <row r="63" spans="1:13" x14ac:dyDescent="0.45">
      <c r="A63" s="3">
        <f>Forecast!A63</f>
        <v>46386</v>
      </c>
      <c r="B63" s="6">
        <f>SUMIFS(Outflows!$E$2:$E$18,Outflows!$B$2:$B$18,$A63,Outflows!$D$2:$D$18,"&lt;&gt;existing_emi_assumed")</f>
        <v>0</v>
      </c>
      <c r="C63" s="6">
        <f>SUMIFS(Outflows!$E$2:$E$18,Outflows!$B$2:$B$18,$A63,Outflows!$D$2:$D$18,"existing_emi_assumed")</f>
        <v>0</v>
      </c>
      <c r="D63" s="6">
        <f>Forecast!I63</f>
        <v>70000</v>
      </c>
      <c r="E63" s="6">
        <f>Forecast!H63</f>
        <v>68091.583333333343</v>
      </c>
      <c r="F63" s="6">
        <f t="shared" si="2"/>
        <v>3519500</v>
      </c>
      <c r="G63" s="6">
        <f t="shared" si="3"/>
        <v>3468998.3</v>
      </c>
      <c r="H63" s="6">
        <f>F63+IF($A63&gt;=Inputs!$B$21,Inputs!$B$20,0)-IF($A63&gt;=DATE(2026,12,4),Loan_Schedule!$B$4,0)-IF($A63&gt;=DATE(2027,1,4),Loan_Schedule!$B$4,0)</f>
        <v>3650767.2955129892</v>
      </c>
      <c r="I63" s="6">
        <f>F63+IF(AND($A63&gt;=Inputs!$B$21,$A63&lt;Inputs!$B$23),Inputs!$B$22,0)</f>
        <v>3519500</v>
      </c>
      <c r="J63" s="6">
        <f>F63+(Inputs!$B$26/Inputs!$B$25)*(IF($A63&gt;=DATE(2026,10,31),290000,0)+IF($A63&gt;=DATE(2026,11,1),150000,0)+IF($A63&gt;=DATE(2026,11,4),520000,0))</f>
        <v>3699500</v>
      </c>
      <c r="K63" s="6">
        <f>G63+IF($A63&gt;=Inputs!$B$21,Inputs!$B$20,0)-IF($A63&gt;=DATE(2026,12,4),Loan_Schedule!$B$4,0)-IF($A63&gt;=DATE(2027,1,4),Loan_Schedule!$B$4,0)</f>
        <v>3600265.595512989</v>
      </c>
      <c r="L63" s="6">
        <f>F63+IF($A63&gt;=Inputs!$B$21,Inputs!$B$20,0)-IF($A63&gt;=DATE(2026,11,30),Inputs!$B$20+Loan_Schedule!$B$7,0)</f>
        <v>3516864.3835616438</v>
      </c>
      <c r="M63" s="6">
        <f>G63+IF($A63&gt;=Inputs!$B$21,Inputs!$B$20,0)-IF($A63&gt;=DATE(2026,11,30),Inputs!$B$20+Loan_Schedule!$B$7,0)</f>
        <v>3466362.6835616436</v>
      </c>
    </row>
    <row r="64" spans="1:13" x14ac:dyDescent="0.45">
      <c r="A64" s="3">
        <f>Forecast!A64</f>
        <v>46387</v>
      </c>
      <c r="B64" s="6">
        <f>SUMIFS(Outflows!$E$2:$E$18,Outflows!$B$2:$B$18,$A64,Outflows!$D$2:$D$18,"&lt;&gt;existing_emi_assumed")</f>
        <v>0</v>
      </c>
      <c r="C64" s="6">
        <f>SUMIFS(Outflows!$E$2:$E$18,Outflows!$B$2:$B$18,$A64,Outflows!$D$2:$D$18,"existing_emi_assumed")</f>
        <v>0</v>
      </c>
      <c r="D64" s="6">
        <f>Forecast!I64</f>
        <v>70000</v>
      </c>
      <c r="E64" s="6">
        <f>Forecast!H64</f>
        <v>69995.333333333328</v>
      </c>
      <c r="F64" s="6">
        <f t="shared" si="2"/>
        <v>3589500</v>
      </c>
      <c r="G64" s="6">
        <f t="shared" si="3"/>
        <v>3538993.6333333333</v>
      </c>
      <c r="H64" s="6">
        <f>F64+IF($A64&gt;=Inputs!$B$21,Inputs!$B$20,0)-IF($A64&gt;=DATE(2026,12,4),Loan_Schedule!$B$4,0)-IF($A64&gt;=DATE(2027,1,4),Loan_Schedule!$B$4,0)</f>
        <v>3720767.2955129892</v>
      </c>
      <c r="I64" s="6">
        <f>F64+IF(AND($A64&gt;=Inputs!$B$21,$A64&lt;Inputs!$B$23),Inputs!$B$22,0)</f>
        <v>3589500</v>
      </c>
      <c r="J64" s="6">
        <f>F64+(Inputs!$B$26/Inputs!$B$25)*(IF($A64&gt;=DATE(2026,10,31),290000,0)+IF($A64&gt;=DATE(2026,11,1),150000,0)+IF($A64&gt;=DATE(2026,11,4),520000,0))</f>
        <v>3769500</v>
      </c>
      <c r="K64" s="6">
        <f>G64+IF($A64&gt;=Inputs!$B$21,Inputs!$B$20,0)-IF($A64&gt;=DATE(2026,12,4),Loan_Schedule!$B$4,0)-IF($A64&gt;=DATE(2027,1,4),Loan_Schedule!$B$4,0)</f>
        <v>3670260.9288463225</v>
      </c>
      <c r="L64" s="6">
        <f>F64+IF($A64&gt;=Inputs!$B$21,Inputs!$B$20,0)-IF($A64&gt;=DATE(2026,11,30),Inputs!$B$20+Loan_Schedule!$B$7,0)</f>
        <v>3586864.3835616438</v>
      </c>
      <c r="M64" s="6">
        <f>G64+IF($A64&gt;=Inputs!$B$21,Inputs!$B$20,0)-IF($A64&gt;=DATE(2026,11,30),Inputs!$B$20+Loan_Schedule!$B$7,0)</f>
        <v>3536358.0168949771</v>
      </c>
    </row>
    <row r="65" spans="1:13" x14ac:dyDescent="0.45">
      <c r="A65" s="3">
        <f>Forecast!A65</f>
        <v>46388</v>
      </c>
      <c r="B65" s="6">
        <f>SUMIFS(Outflows!$E$2:$E$18,Outflows!$B$2:$B$18,$A65,Outflows!$D$2:$D$18,"&lt;&gt;existing_emi_assumed")</f>
        <v>105000</v>
      </c>
      <c r="C65" s="6">
        <f>SUMIFS(Outflows!$E$2:$E$18,Outflows!$B$2:$B$18,$A65,Outflows!$D$2:$D$18,"existing_emi_assumed")</f>
        <v>22000</v>
      </c>
      <c r="D65" s="6">
        <f>Forecast!I65</f>
        <v>70000</v>
      </c>
      <c r="E65" s="6">
        <f>Forecast!H65</f>
        <v>71603.416666666672</v>
      </c>
      <c r="F65" s="6">
        <f t="shared" si="2"/>
        <v>3554500</v>
      </c>
      <c r="G65" s="6">
        <f t="shared" si="3"/>
        <v>3483597.05</v>
      </c>
      <c r="H65" s="6">
        <f>F65+IF($A65&gt;=Inputs!$B$21,Inputs!$B$20,0)-IF($A65&gt;=DATE(2026,12,4),Loan_Schedule!$B$4,0)-IF($A65&gt;=DATE(2027,1,4),Loan_Schedule!$B$4,0)</f>
        <v>3685767.2955129892</v>
      </c>
      <c r="I65" s="6">
        <f>F65+IF(AND($A65&gt;=Inputs!$B$21,$A65&lt;Inputs!$B$23),Inputs!$B$22,0)</f>
        <v>3554500</v>
      </c>
      <c r="J65" s="6">
        <f>F65+(Inputs!$B$26/Inputs!$B$25)*(IF($A65&gt;=DATE(2026,10,31),290000,0)+IF($A65&gt;=DATE(2026,11,1),150000,0)+IF($A65&gt;=DATE(2026,11,4),520000,0))</f>
        <v>3734500</v>
      </c>
      <c r="K65" s="6">
        <f>G65+IF($A65&gt;=Inputs!$B$21,Inputs!$B$20,0)-IF($A65&gt;=DATE(2026,12,4),Loan_Schedule!$B$4,0)-IF($A65&gt;=DATE(2027,1,4),Loan_Schedule!$B$4,0)</f>
        <v>3614864.345512989</v>
      </c>
      <c r="L65" s="6">
        <f>F65+IF($A65&gt;=Inputs!$B$21,Inputs!$B$20,0)-IF($A65&gt;=DATE(2026,11,30),Inputs!$B$20+Loan_Schedule!$B$7,0)</f>
        <v>3551864.3835616438</v>
      </c>
      <c r="M65" s="6">
        <f>G65+IF($A65&gt;=Inputs!$B$21,Inputs!$B$20,0)-IF($A65&gt;=DATE(2026,11,30),Inputs!$B$20+Loan_Schedule!$B$7,0)</f>
        <v>3480961.4335616436</v>
      </c>
    </row>
    <row r="66" spans="1:13" x14ac:dyDescent="0.45">
      <c r="A66" s="3">
        <f>Forecast!A66</f>
        <v>46389</v>
      </c>
      <c r="B66" s="6">
        <f>SUMIFS(Outflows!$E$2:$E$18,Outflows!$B$2:$B$18,$A66,Outflows!$D$2:$D$18,"&lt;&gt;existing_emi_assumed")</f>
        <v>0</v>
      </c>
      <c r="C66" s="6">
        <f>SUMIFS(Outflows!$E$2:$E$18,Outflows!$B$2:$B$18,$A66,Outflows!$D$2:$D$18,"existing_emi_assumed")</f>
        <v>0</v>
      </c>
      <c r="D66" s="6">
        <f>Forecast!I66</f>
        <v>70000</v>
      </c>
      <c r="E66" s="6">
        <f>Forecast!H66</f>
        <v>78226.583333333343</v>
      </c>
      <c r="F66" s="6">
        <f t="shared" si="2"/>
        <v>3624500</v>
      </c>
      <c r="G66" s="6">
        <f t="shared" si="3"/>
        <v>3561823.6333333333</v>
      </c>
      <c r="H66" s="6">
        <f>F66+IF($A66&gt;=Inputs!$B$21,Inputs!$B$20,0)-IF($A66&gt;=DATE(2026,12,4),Loan_Schedule!$B$4,0)-IF($A66&gt;=DATE(2027,1,4),Loan_Schedule!$B$4,0)</f>
        <v>3755767.2955129892</v>
      </c>
      <c r="I66" s="6">
        <f>F66+IF(AND($A66&gt;=Inputs!$B$21,$A66&lt;Inputs!$B$23),Inputs!$B$22,0)</f>
        <v>3624500</v>
      </c>
      <c r="J66" s="6">
        <f>F66+(Inputs!$B$26/Inputs!$B$25)*(IF($A66&gt;=DATE(2026,10,31),290000,0)+IF($A66&gt;=DATE(2026,11,1),150000,0)+IF($A66&gt;=DATE(2026,11,4),520000,0))</f>
        <v>3804500</v>
      </c>
      <c r="K66" s="6">
        <f>G66+IF($A66&gt;=Inputs!$B$21,Inputs!$B$20,0)-IF($A66&gt;=DATE(2026,12,4),Loan_Schedule!$B$4,0)-IF($A66&gt;=DATE(2027,1,4),Loan_Schedule!$B$4,0)</f>
        <v>3693090.9288463225</v>
      </c>
      <c r="L66" s="6">
        <f>F66+IF($A66&gt;=Inputs!$B$21,Inputs!$B$20,0)-IF($A66&gt;=DATE(2026,11,30),Inputs!$B$20+Loan_Schedule!$B$7,0)</f>
        <v>3621864.3835616438</v>
      </c>
      <c r="M66" s="6">
        <f>G66+IF($A66&gt;=Inputs!$B$21,Inputs!$B$20,0)-IF($A66&gt;=DATE(2026,11,30),Inputs!$B$20+Loan_Schedule!$B$7,0)</f>
        <v>3559188.0168949771</v>
      </c>
    </row>
    <row r="67" spans="1:13" x14ac:dyDescent="0.45">
      <c r="A67" s="3">
        <f>Forecast!A67</f>
        <v>46390</v>
      </c>
      <c r="B67" s="6">
        <f>SUMIFS(Outflows!$E$2:$E$18,Outflows!$B$2:$B$18,$A67,Outflows!$D$2:$D$18,"&lt;&gt;existing_emi_assumed")</f>
        <v>0</v>
      </c>
      <c r="C67" s="6">
        <f>SUMIFS(Outflows!$E$2:$E$18,Outflows!$B$2:$B$18,$A67,Outflows!$D$2:$D$18,"existing_emi_assumed")</f>
        <v>0</v>
      </c>
      <c r="D67" s="6">
        <f>Forecast!I67</f>
        <v>70000</v>
      </c>
      <c r="E67" s="6">
        <f>Forecast!H67</f>
        <v>72711</v>
      </c>
      <c r="F67" s="6">
        <f t="shared" ref="F67:F91" si="4">F66+D67-B67</f>
        <v>3694500</v>
      </c>
      <c r="G67" s="6">
        <f t="shared" ref="G67:G91" si="5">G66+E67-B67-C67</f>
        <v>3634534.6333333333</v>
      </c>
      <c r="H67" s="6">
        <f>F67+IF($A67&gt;=Inputs!$B$21,Inputs!$B$20,0)-IF($A67&gt;=DATE(2026,12,4),Loan_Schedule!$B$4,0)-IF($A67&gt;=DATE(2027,1,4),Loan_Schedule!$B$4,0)</f>
        <v>3825767.2955129892</v>
      </c>
      <c r="I67" s="6">
        <f>F67+IF(AND($A67&gt;=Inputs!$B$21,$A67&lt;Inputs!$B$23),Inputs!$B$22,0)</f>
        <v>3694500</v>
      </c>
      <c r="J67" s="6">
        <f>F67+(Inputs!$B$26/Inputs!$B$25)*(IF($A67&gt;=DATE(2026,10,31),290000,0)+IF($A67&gt;=DATE(2026,11,1),150000,0)+IF($A67&gt;=DATE(2026,11,4),520000,0))</f>
        <v>3874500</v>
      </c>
      <c r="K67" s="6">
        <f>G67+IF($A67&gt;=Inputs!$B$21,Inputs!$B$20,0)-IF($A67&gt;=DATE(2026,12,4),Loan_Schedule!$B$4,0)-IF($A67&gt;=DATE(2027,1,4),Loan_Schedule!$B$4,0)</f>
        <v>3765801.9288463225</v>
      </c>
      <c r="L67" s="6">
        <f>F67+IF($A67&gt;=Inputs!$B$21,Inputs!$B$20,0)-IF($A67&gt;=DATE(2026,11,30),Inputs!$B$20+Loan_Schedule!$B$7,0)</f>
        <v>3691864.3835616438</v>
      </c>
      <c r="M67" s="6">
        <f>G67+IF($A67&gt;=Inputs!$B$21,Inputs!$B$20,0)-IF($A67&gt;=DATE(2026,11,30),Inputs!$B$20+Loan_Schedule!$B$7,0)</f>
        <v>3631899.0168949771</v>
      </c>
    </row>
    <row r="68" spans="1:13" x14ac:dyDescent="0.45">
      <c r="A68" s="3">
        <f>Forecast!A68</f>
        <v>46391</v>
      </c>
      <c r="B68" s="6">
        <f>SUMIFS(Outflows!$E$2:$E$18,Outflows!$B$2:$B$18,$A68,Outflows!$D$2:$D$18,"&lt;&gt;existing_emi_assumed")</f>
        <v>0</v>
      </c>
      <c r="C68" s="6">
        <f>SUMIFS(Outflows!$E$2:$E$18,Outflows!$B$2:$B$18,$A68,Outflows!$D$2:$D$18,"existing_emi_assumed")</f>
        <v>0</v>
      </c>
      <c r="D68" s="6">
        <f>Forecast!I68</f>
        <v>70000</v>
      </c>
      <c r="E68" s="6">
        <f>Forecast!H68</f>
        <v>63994.666666666664</v>
      </c>
      <c r="F68" s="6">
        <f t="shared" si="4"/>
        <v>3764500</v>
      </c>
      <c r="G68" s="6">
        <f t="shared" si="5"/>
        <v>3698529.3</v>
      </c>
      <c r="H68" s="6">
        <f>F68+IF($A68&gt;=Inputs!$B$21,Inputs!$B$20,0)-IF($A68&gt;=DATE(2026,12,4),Loan_Schedule!$B$4,0)-IF($A68&gt;=DATE(2027,1,4),Loan_Schedule!$B$4,0)</f>
        <v>3827034.5910259783</v>
      </c>
      <c r="I68" s="6">
        <f>F68+IF(AND($A68&gt;=Inputs!$B$21,$A68&lt;Inputs!$B$23),Inputs!$B$22,0)</f>
        <v>3764500</v>
      </c>
      <c r="J68" s="6">
        <f>F68+(Inputs!$B$26/Inputs!$B$25)*(IF($A68&gt;=DATE(2026,10,31),290000,0)+IF($A68&gt;=DATE(2026,11,1),150000,0)+IF($A68&gt;=DATE(2026,11,4),520000,0))</f>
        <v>3944500</v>
      </c>
      <c r="K68" s="6">
        <f>G68+IF($A68&gt;=Inputs!$B$21,Inputs!$B$20,0)-IF($A68&gt;=DATE(2026,12,4),Loan_Schedule!$B$4,0)-IF($A68&gt;=DATE(2027,1,4),Loan_Schedule!$B$4,0)</f>
        <v>3761063.8910259781</v>
      </c>
      <c r="L68" s="6">
        <f>F68+IF($A68&gt;=Inputs!$B$21,Inputs!$B$20,0)-IF($A68&gt;=DATE(2026,11,30),Inputs!$B$20+Loan_Schedule!$B$7,0)</f>
        <v>3761864.3835616438</v>
      </c>
      <c r="M68" s="6">
        <f>G68+IF($A68&gt;=Inputs!$B$21,Inputs!$B$20,0)-IF($A68&gt;=DATE(2026,11,30),Inputs!$B$20+Loan_Schedule!$B$7,0)</f>
        <v>3695893.6835616436</v>
      </c>
    </row>
    <row r="69" spans="1:13" x14ac:dyDescent="0.45">
      <c r="A69" s="3">
        <f>Forecast!A69</f>
        <v>46392</v>
      </c>
      <c r="B69" s="6">
        <f>SUMIFS(Outflows!$E$2:$E$18,Outflows!$B$2:$B$18,$A69,Outflows!$D$2:$D$18,"&lt;&gt;existing_emi_assumed")</f>
        <v>107000</v>
      </c>
      <c r="C69" s="6">
        <f>SUMIFS(Outflows!$E$2:$E$18,Outflows!$B$2:$B$18,$A69,Outflows!$D$2:$D$18,"existing_emi_assumed")</f>
        <v>0</v>
      </c>
      <c r="D69" s="6">
        <f>Forecast!I69</f>
        <v>70000</v>
      </c>
      <c r="E69" s="6">
        <f>Forecast!H69</f>
        <v>66386.916666666672</v>
      </c>
      <c r="F69" s="6">
        <f t="shared" si="4"/>
        <v>3727500</v>
      </c>
      <c r="G69" s="6">
        <f t="shared" si="5"/>
        <v>3657916.2166666663</v>
      </c>
      <c r="H69" s="6">
        <f>F69+IF($A69&gt;=Inputs!$B$21,Inputs!$B$20,0)-IF($A69&gt;=DATE(2026,12,4),Loan_Schedule!$B$4,0)-IF($A69&gt;=DATE(2027,1,4),Loan_Schedule!$B$4,0)</f>
        <v>3790034.5910259783</v>
      </c>
      <c r="I69" s="6">
        <f>F69+IF(AND($A69&gt;=Inputs!$B$21,$A69&lt;Inputs!$B$23),Inputs!$B$22,0)</f>
        <v>3727500</v>
      </c>
      <c r="J69" s="6">
        <f>F69+(Inputs!$B$26/Inputs!$B$25)*(IF($A69&gt;=DATE(2026,10,31),290000,0)+IF($A69&gt;=DATE(2026,11,1),150000,0)+IF($A69&gt;=DATE(2026,11,4),520000,0))</f>
        <v>3907500</v>
      </c>
      <c r="K69" s="6">
        <f>G69+IF($A69&gt;=Inputs!$B$21,Inputs!$B$20,0)-IF($A69&gt;=DATE(2026,12,4),Loan_Schedule!$B$4,0)-IF($A69&gt;=DATE(2027,1,4),Loan_Schedule!$B$4,0)</f>
        <v>3720450.8076926447</v>
      </c>
      <c r="L69" s="6">
        <f>F69+IF($A69&gt;=Inputs!$B$21,Inputs!$B$20,0)-IF($A69&gt;=DATE(2026,11,30),Inputs!$B$20+Loan_Schedule!$B$7,0)</f>
        <v>3724864.3835616438</v>
      </c>
      <c r="M69" s="6">
        <f>G69+IF($A69&gt;=Inputs!$B$21,Inputs!$B$20,0)-IF($A69&gt;=DATE(2026,11,30),Inputs!$B$20+Loan_Schedule!$B$7,0)</f>
        <v>3655280.6002283101</v>
      </c>
    </row>
    <row r="70" spans="1:13" x14ac:dyDescent="0.45">
      <c r="A70" s="3">
        <f>Forecast!A70</f>
        <v>46393</v>
      </c>
      <c r="B70" s="6">
        <f>SUMIFS(Outflows!$E$2:$E$18,Outflows!$B$2:$B$18,$A70,Outflows!$D$2:$D$18,"&lt;&gt;existing_emi_assumed")</f>
        <v>0</v>
      </c>
      <c r="C70" s="6">
        <f>SUMIFS(Outflows!$E$2:$E$18,Outflows!$B$2:$B$18,$A70,Outflows!$D$2:$D$18,"existing_emi_assumed")</f>
        <v>0</v>
      </c>
      <c r="D70" s="6">
        <f>Forecast!I70</f>
        <v>70000</v>
      </c>
      <c r="E70" s="6">
        <f>Forecast!H70</f>
        <v>68091.583333333343</v>
      </c>
      <c r="F70" s="6">
        <f t="shared" si="4"/>
        <v>3797500</v>
      </c>
      <c r="G70" s="6">
        <f t="shared" si="5"/>
        <v>3726007.8</v>
      </c>
      <c r="H70" s="6">
        <f>F70+IF($A70&gt;=Inputs!$B$21,Inputs!$B$20,0)-IF($A70&gt;=DATE(2026,12,4),Loan_Schedule!$B$4,0)-IF($A70&gt;=DATE(2027,1,4),Loan_Schedule!$B$4,0)</f>
        <v>3860034.5910259783</v>
      </c>
      <c r="I70" s="6">
        <f>F70+IF(AND($A70&gt;=Inputs!$B$21,$A70&lt;Inputs!$B$23),Inputs!$B$22,0)</f>
        <v>3797500</v>
      </c>
      <c r="J70" s="6">
        <f>F70+(Inputs!$B$26/Inputs!$B$25)*(IF($A70&gt;=DATE(2026,10,31),290000,0)+IF($A70&gt;=DATE(2026,11,1),150000,0)+IF($A70&gt;=DATE(2026,11,4),520000,0))</f>
        <v>3977500</v>
      </c>
      <c r="K70" s="6">
        <f>G70+IF($A70&gt;=Inputs!$B$21,Inputs!$B$20,0)-IF($A70&gt;=DATE(2026,12,4),Loan_Schedule!$B$4,0)-IF($A70&gt;=DATE(2027,1,4),Loan_Schedule!$B$4,0)</f>
        <v>3788542.3910259781</v>
      </c>
      <c r="L70" s="6">
        <f>F70+IF($A70&gt;=Inputs!$B$21,Inputs!$B$20,0)-IF($A70&gt;=DATE(2026,11,30),Inputs!$B$20+Loan_Schedule!$B$7,0)</f>
        <v>3794864.3835616438</v>
      </c>
      <c r="M70" s="6">
        <f>G70+IF($A70&gt;=Inputs!$B$21,Inputs!$B$20,0)-IF($A70&gt;=DATE(2026,11,30),Inputs!$B$20+Loan_Schedule!$B$7,0)</f>
        <v>3723372.1835616436</v>
      </c>
    </row>
    <row r="71" spans="1:13" x14ac:dyDescent="0.45">
      <c r="A71" s="3">
        <f>Forecast!A71</f>
        <v>46394</v>
      </c>
      <c r="B71" s="6">
        <f>SUMIFS(Outflows!$E$2:$E$18,Outflows!$B$2:$B$18,$A71,Outflows!$D$2:$D$18,"&lt;&gt;existing_emi_assumed")</f>
        <v>0</v>
      </c>
      <c r="C71" s="6">
        <f>SUMIFS(Outflows!$E$2:$E$18,Outflows!$B$2:$B$18,$A71,Outflows!$D$2:$D$18,"existing_emi_assumed")</f>
        <v>0</v>
      </c>
      <c r="D71" s="6">
        <f>Forecast!I71</f>
        <v>70000</v>
      </c>
      <c r="E71" s="6">
        <f>Forecast!H71</f>
        <v>69995.333333333328</v>
      </c>
      <c r="F71" s="6">
        <f t="shared" si="4"/>
        <v>3867500</v>
      </c>
      <c r="G71" s="6">
        <f t="shared" si="5"/>
        <v>3796003.1333333333</v>
      </c>
      <c r="H71" s="6">
        <f>F71+IF($A71&gt;=Inputs!$B$21,Inputs!$B$20,0)-IF($A71&gt;=DATE(2026,12,4),Loan_Schedule!$B$4,0)-IF($A71&gt;=DATE(2027,1,4),Loan_Schedule!$B$4,0)</f>
        <v>3930034.5910259783</v>
      </c>
      <c r="I71" s="6">
        <f>F71+IF(AND($A71&gt;=Inputs!$B$21,$A71&lt;Inputs!$B$23),Inputs!$B$22,0)</f>
        <v>3867500</v>
      </c>
      <c r="J71" s="6">
        <f>F71+(Inputs!$B$26/Inputs!$B$25)*(IF($A71&gt;=DATE(2026,10,31),290000,0)+IF($A71&gt;=DATE(2026,11,1),150000,0)+IF($A71&gt;=DATE(2026,11,4),520000,0))</f>
        <v>4047500</v>
      </c>
      <c r="K71" s="6">
        <f>G71+IF($A71&gt;=Inputs!$B$21,Inputs!$B$20,0)-IF($A71&gt;=DATE(2026,12,4),Loan_Schedule!$B$4,0)-IF($A71&gt;=DATE(2027,1,4),Loan_Schedule!$B$4,0)</f>
        <v>3858537.7243593116</v>
      </c>
      <c r="L71" s="6">
        <f>F71+IF($A71&gt;=Inputs!$B$21,Inputs!$B$20,0)-IF($A71&gt;=DATE(2026,11,30),Inputs!$B$20+Loan_Schedule!$B$7,0)</f>
        <v>3864864.3835616438</v>
      </c>
      <c r="M71" s="6">
        <f>G71+IF($A71&gt;=Inputs!$B$21,Inputs!$B$20,0)-IF($A71&gt;=DATE(2026,11,30),Inputs!$B$20+Loan_Schedule!$B$7,0)</f>
        <v>3793367.5168949771</v>
      </c>
    </row>
    <row r="72" spans="1:13" x14ac:dyDescent="0.45">
      <c r="A72" s="3">
        <f>Forecast!A72</f>
        <v>46395</v>
      </c>
      <c r="B72" s="6">
        <f>SUMIFS(Outflows!$E$2:$E$18,Outflows!$B$2:$B$18,$A72,Outflows!$D$2:$D$18,"&lt;&gt;existing_emi_assumed")</f>
        <v>0</v>
      </c>
      <c r="C72" s="6">
        <f>SUMIFS(Outflows!$E$2:$E$18,Outflows!$B$2:$B$18,$A72,Outflows!$D$2:$D$18,"existing_emi_assumed")</f>
        <v>0</v>
      </c>
      <c r="D72" s="6">
        <f>Forecast!I72</f>
        <v>70000</v>
      </c>
      <c r="E72" s="6">
        <f>Forecast!H72</f>
        <v>71603.416666666672</v>
      </c>
      <c r="F72" s="6">
        <f t="shared" si="4"/>
        <v>3937500</v>
      </c>
      <c r="G72" s="6">
        <f t="shared" si="5"/>
        <v>3867606.55</v>
      </c>
      <c r="H72" s="6">
        <f>F72+IF($A72&gt;=Inputs!$B$21,Inputs!$B$20,0)-IF($A72&gt;=DATE(2026,12,4),Loan_Schedule!$B$4,0)-IF($A72&gt;=DATE(2027,1,4),Loan_Schedule!$B$4,0)</f>
        <v>4000034.5910259783</v>
      </c>
      <c r="I72" s="6">
        <f>F72+IF(AND($A72&gt;=Inputs!$B$21,$A72&lt;Inputs!$B$23),Inputs!$B$22,0)</f>
        <v>3937500</v>
      </c>
      <c r="J72" s="6">
        <f>F72+(Inputs!$B$26/Inputs!$B$25)*(IF($A72&gt;=DATE(2026,10,31),290000,0)+IF($A72&gt;=DATE(2026,11,1),150000,0)+IF($A72&gt;=DATE(2026,11,4),520000,0))</f>
        <v>4117500</v>
      </c>
      <c r="K72" s="6">
        <f>G72+IF($A72&gt;=Inputs!$B$21,Inputs!$B$20,0)-IF($A72&gt;=DATE(2026,12,4),Loan_Schedule!$B$4,0)-IF($A72&gt;=DATE(2027,1,4),Loan_Schedule!$B$4,0)</f>
        <v>3930141.1410259781</v>
      </c>
      <c r="L72" s="6">
        <f>F72+IF($A72&gt;=Inputs!$B$21,Inputs!$B$20,0)-IF($A72&gt;=DATE(2026,11,30),Inputs!$B$20+Loan_Schedule!$B$7,0)</f>
        <v>3934864.3835616438</v>
      </c>
      <c r="M72" s="6">
        <f>G72+IF($A72&gt;=Inputs!$B$21,Inputs!$B$20,0)-IF($A72&gt;=DATE(2026,11,30),Inputs!$B$20+Loan_Schedule!$B$7,0)</f>
        <v>3864970.9335616436</v>
      </c>
    </row>
    <row r="73" spans="1:13" x14ac:dyDescent="0.45">
      <c r="A73" s="3">
        <f>Forecast!A73</f>
        <v>46396</v>
      </c>
      <c r="B73" s="6">
        <f>SUMIFS(Outflows!$E$2:$E$18,Outflows!$B$2:$B$18,$A73,Outflows!$D$2:$D$18,"&lt;&gt;existing_emi_assumed")</f>
        <v>0</v>
      </c>
      <c r="C73" s="6">
        <f>SUMIFS(Outflows!$E$2:$E$18,Outflows!$B$2:$B$18,$A73,Outflows!$D$2:$D$18,"existing_emi_assumed")</f>
        <v>0</v>
      </c>
      <c r="D73" s="6">
        <f>Forecast!I73</f>
        <v>70000</v>
      </c>
      <c r="E73" s="6">
        <f>Forecast!H73</f>
        <v>78226.583333333343</v>
      </c>
      <c r="F73" s="6">
        <f t="shared" si="4"/>
        <v>4007500</v>
      </c>
      <c r="G73" s="6">
        <f t="shared" si="5"/>
        <v>3945833.1333333333</v>
      </c>
      <c r="H73" s="6">
        <f>F73+IF($A73&gt;=Inputs!$B$21,Inputs!$B$20,0)-IF($A73&gt;=DATE(2026,12,4),Loan_Schedule!$B$4,0)-IF($A73&gt;=DATE(2027,1,4),Loan_Schedule!$B$4,0)</f>
        <v>4070034.5910259783</v>
      </c>
      <c r="I73" s="6">
        <f>F73+IF(AND($A73&gt;=Inputs!$B$21,$A73&lt;Inputs!$B$23),Inputs!$B$22,0)</f>
        <v>4007500</v>
      </c>
      <c r="J73" s="6">
        <f>F73+(Inputs!$B$26/Inputs!$B$25)*(IF($A73&gt;=DATE(2026,10,31),290000,0)+IF($A73&gt;=DATE(2026,11,1),150000,0)+IF($A73&gt;=DATE(2026,11,4),520000,0))</f>
        <v>4187500</v>
      </c>
      <c r="K73" s="6">
        <f>G73+IF($A73&gt;=Inputs!$B$21,Inputs!$B$20,0)-IF($A73&gt;=DATE(2026,12,4),Loan_Schedule!$B$4,0)-IF($A73&gt;=DATE(2027,1,4),Loan_Schedule!$B$4,0)</f>
        <v>4008367.7243593116</v>
      </c>
      <c r="L73" s="6">
        <f>F73+IF($A73&gt;=Inputs!$B$21,Inputs!$B$20,0)-IF($A73&gt;=DATE(2026,11,30),Inputs!$B$20+Loan_Schedule!$B$7,0)</f>
        <v>4004864.3835616438</v>
      </c>
      <c r="M73" s="6">
        <f>G73+IF($A73&gt;=Inputs!$B$21,Inputs!$B$20,0)-IF($A73&gt;=DATE(2026,11,30),Inputs!$B$20+Loan_Schedule!$B$7,0)</f>
        <v>3943197.5168949771</v>
      </c>
    </row>
    <row r="74" spans="1:13" x14ac:dyDescent="0.45">
      <c r="A74" s="3">
        <f>Forecast!A74</f>
        <v>46397</v>
      </c>
      <c r="B74" s="6">
        <f>SUMIFS(Outflows!$E$2:$E$18,Outflows!$B$2:$B$18,$A74,Outflows!$D$2:$D$18,"&lt;&gt;existing_emi_assumed")</f>
        <v>0</v>
      </c>
      <c r="C74" s="6">
        <f>SUMIFS(Outflows!$E$2:$E$18,Outflows!$B$2:$B$18,$A74,Outflows!$D$2:$D$18,"existing_emi_assumed")</f>
        <v>0</v>
      </c>
      <c r="D74" s="6">
        <f>Forecast!I74</f>
        <v>70000</v>
      </c>
      <c r="E74" s="6">
        <f>Forecast!H74</f>
        <v>72711</v>
      </c>
      <c r="F74" s="6">
        <f t="shared" si="4"/>
        <v>4077500</v>
      </c>
      <c r="G74" s="6">
        <f t="shared" si="5"/>
        <v>4018544.1333333333</v>
      </c>
      <c r="H74" s="6">
        <f>F74+IF($A74&gt;=Inputs!$B$21,Inputs!$B$20,0)-IF($A74&gt;=DATE(2026,12,4),Loan_Schedule!$B$4,0)-IF($A74&gt;=DATE(2027,1,4),Loan_Schedule!$B$4,0)</f>
        <v>4140034.5910259783</v>
      </c>
      <c r="I74" s="6">
        <f>F74+IF(AND($A74&gt;=Inputs!$B$21,$A74&lt;Inputs!$B$23),Inputs!$B$22,0)</f>
        <v>4077500</v>
      </c>
      <c r="J74" s="6">
        <f>F74+(Inputs!$B$26/Inputs!$B$25)*(IF($A74&gt;=DATE(2026,10,31),290000,0)+IF($A74&gt;=DATE(2026,11,1),150000,0)+IF($A74&gt;=DATE(2026,11,4),520000,0))</f>
        <v>4257500</v>
      </c>
      <c r="K74" s="6">
        <f>G74+IF($A74&gt;=Inputs!$B$21,Inputs!$B$20,0)-IF($A74&gt;=DATE(2026,12,4),Loan_Schedule!$B$4,0)-IF($A74&gt;=DATE(2027,1,4),Loan_Schedule!$B$4,0)</f>
        <v>4081078.7243593112</v>
      </c>
      <c r="L74" s="6">
        <f>F74+IF($A74&gt;=Inputs!$B$21,Inputs!$B$20,0)-IF($A74&gt;=DATE(2026,11,30),Inputs!$B$20+Loan_Schedule!$B$7,0)</f>
        <v>4074864.3835616438</v>
      </c>
      <c r="M74" s="6">
        <f>G74+IF($A74&gt;=Inputs!$B$21,Inputs!$B$20,0)-IF($A74&gt;=DATE(2026,11,30),Inputs!$B$20+Loan_Schedule!$B$7,0)</f>
        <v>4015908.5168949766</v>
      </c>
    </row>
    <row r="75" spans="1:13" x14ac:dyDescent="0.45">
      <c r="A75" s="3">
        <f>Forecast!A75</f>
        <v>46398</v>
      </c>
      <c r="B75" s="6">
        <f>SUMIFS(Outflows!$E$2:$E$18,Outflows!$B$2:$B$18,$A75,Outflows!$D$2:$D$18,"&lt;&gt;existing_emi_assumed")</f>
        <v>0</v>
      </c>
      <c r="C75" s="6">
        <f>SUMIFS(Outflows!$E$2:$E$18,Outflows!$B$2:$B$18,$A75,Outflows!$D$2:$D$18,"existing_emi_assumed")</f>
        <v>0</v>
      </c>
      <c r="D75" s="6">
        <f>Forecast!I75</f>
        <v>70000</v>
      </c>
      <c r="E75" s="6">
        <f>Forecast!H75</f>
        <v>63994.666666666664</v>
      </c>
      <c r="F75" s="6">
        <f t="shared" si="4"/>
        <v>4147500</v>
      </c>
      <c r="G75" s="6">
        <f t="shared" si="5"/>
        <v>4082538.8</v>
      </c>
      <c r="H75" s="6">
        <f>F75+IF($A75&gt;=Inputs!$B$21,Inputs!$B$20,0)-IF($A75&gt;=DATE(2026,12,4),Loan_Schedule!$B$4,0)-IF($A75&gt;=DATE(2027,1,4),Loan_Schedule!$B$4,0)</f>
        <v>4210034.5910259783</v>
      </c>
      <c r="I75" s="6">
        <f>F75+IF(AND($A75&gt;=Inputs!$B$21,$A75&lt;Inputs!$B$23),Inputs!$B$22,0)</f>
        <v>4147500</v>
      </c>
      <c r="J75" s="6">
        <f>F75+(Inputs!$B$26/Inputs!$B$25)*(IF($A75&gt;=DATE(2026,10,31),290000,0)+IF($A75&gt;=DATE(2026,11,1),150000,0)+IF($A75&gt;=DATE(2026,11,4),520000,0))</f>
        <v>4327500</v>
      </c>
      <c r="K75" s="6">
        <f>G75+IF($A75&gt;=Inputs!$B$21,Inputs!$B$20,0)-IF($A75&gt;=DATE(2026,12,4),Loan_Schedule!$B$4,0)-IF($A75&gt;=DATE(2027,1,4),Loan_Schedule!$B$4,0)</f>
        <v>4145073.3910259781</v>
      </c>
      <c r="L75" s="6">
        <f>F75+IF($A75&gt;=Inputs!$B$21,Inputs!$B$20,0)-IF($A75&gt;=DATE(2026,11,30),Inputs!$B$20+Loan_Schedule!$B$7,0)</f>
        <v>4144864.3835616438</v>
      </c>
      <c r="M75" s="6">
        <f>G75+IF($A75&gt;=Inputs!$B$21,Inputs!$B$20,0)-IF($A75&gt;=DATE(2026,11,30),Inputs!$B$20+Loan_Schedule!$B$7,0)</f>
        <v>4079903.1835616436</v>
      </c>
    </row>
    <row r="76" spans="1:13" x14ac:dyDescent="0.45">
      <c r="A76" s="3">
        <f>Forecast!A76</f>
        <v>46399</v>
      </c>
      <c r="B76" s="6">
        <f>SUMIFS(Outflows!$E$2:$E$18,Outflows!$B$2:$B$18,$A76,Outflows!$D$2:$D$18,"&lt;&gt;existing_emi_assumed")</f>
        <v>0</v>
      </c>
      <c r="C76" s="6">
        <f>SUMIFS(Outflows!$E$2:$E$18,Outflows!$B$2:$B$18,$A76,Outflows!$D$2:$D$18,"existing_emi_assumed")</f>
        <v>0</v>
      </c>
      <c r="D76" s="6">
        <f>Forecast!I76</f>
        <v>70000</v>
      </c>
      <c r="E76" s="6">
        <f>Forecast!H76</f>
        <v>66386.916666666672</v>
      </c>
      <c r="F76" s="6">
        <f t="shared" si="4"/>
        <v>4217500</v>
      </c>
      <c r="G76" s="6">
        <f t="shared" si="5"/>
        <v>4148925.7166666663</v>
      </c>
      <c r="H76" s="6">
        <f>F76+IF($A76&gt;=Inputs!$B$21,Inputs!$B$20,0)-IF($A76&gt;=DATE(2026,12,4),Loan_Schedule!$B$4,0)-IF($A76&gt;=DATE(2027,1,4),Loan_Schedule!$B$4,0)</f>
        <v>4280034.5910259783</v>
      </c>
      <c r="I76" s="6">
        <f>F76+IF(AND($A76&gt;=Inputs!$B$21,$A76&lt;Inputs!$B$23),Inputs!$B$22,0)</f>
        <v>4217500</v>
      </c>
      <c r="J76" s="6">
        <f>F76+(Inputs!$B$26/Inputs!$B$25)*(IF($A76&gt;=DATE(2026,10,31),290000,0)+IF($A76&gt;=DATE(2026,11,1),150000,0)+IF($A76&gt;=DATE(2026,11,4),520000,0))</f>
        <v>4397500</v>
      </c>
      <c r="K76" s="6">
        <f>G76+IF($A76&gt;=Inputs!$B$21,Inputs!$B$20,0)-IF($A76&gt;=DATE(2026,12,4),Loan_Schedule!$B$4,0)-IF($A76&gt;=DATE(2027,1,4),Loan_Schedule!$B$4,0)</f>
        <v>4211460.3076926451</v>
      </c>
      <c r="L76" s="6">
        <f>F76+IF($A76&gt;=Inputs!$B$21,Inputs!$B$20,0)-IF($A76&gt;=DATE(2026,11,30),Inputs!$B$20+Loan_Schedule!$B$7,0)</f>
        <v>4214864.3835616438</v>
      </c>
      <c r="M76" s="6">
        <f>G76+IF($A76&gt;=Inputs!$B$21,Inputs!$B$20,0)-IF($A76&gt;=DATE(2026,11,30),Inputs!$B$20+Loan_Schedule!$B$7,0)</f>
        <v>4146290.1002283106</v>
      </c>
    </row>
    <row r="77" spans="1:13" x14ac:dyDescent="0.45">
      <c r="A77" s="3">
        <f>Forecast!A77</f>
        <v>46400</v>
      </c>
      <c r="B77" s="6">
        <f>SUMIFS(Outflows!$E$2:$E$18,Outflows!$B$2:$B$18,$A77,Outflows!$D$2:$D$18,"&lt;&gt;existing_emi_assumed")</f>
        <v>0</v>
      </c>
      <c r="C77" s="6">
        <f>SUMIFS(Outflows!$E$2:$E$18,Outflows!$B$2:$B$18,$A77,Outflows!$D$2:$D$18,"existing_emi_assumed")</f>
        <v>0</v>
      </c>
      <c r="D77" s="6">
        <f>Forecast!I77</f>
        <v>70000</v>
      </c>
      <c r="E77" s="6">
        <f>Forecast!H77</f>
        <v>68091.583333333343</v>
      </c>
      <c r="F77" s="6">
        <f t="shared" si="4"/>
        <v>4287500</v>
      </c>
      <c r="G77" s="6">
        <f t="shared" si="5"/>
        <v>4217017.3</v>
      </c>
      <c r="H77" s="6">
        <f>F77+IF($A77&gt;=Inputs!$B$21,Inputs!$B$20,0)-IF($A77&gt;=DATE(2026,12,4),Loan_Schedule!$B$4,0)-IF($A77&gt;=DATE(2027,1,4),Loan_Schedule!$B$4,0)</f>
        <v>4350034.5910259783</v>
      </c>
      <c r="I77" s="6">
        <f>F77+IF(AND($A77&gt;=Inputs!$B$21,$A77&lt;Inputs!$B$23),Inputs!$B$22,0)</f>
        <v>4287500</v>
      </c>
      <c r="J77" s="6">
        <f>F77+(Inputs!$B$26/Inputs!$B$25)*(IF($A77&gt;=DATE(2026,10,31),290000,0)+IF($A77&gt;=DATE(2026,11,1),150000,0)+IF($A77&gt;=DATE(2026,11,4),520000,0))</f>
        <v>4467500</v>
      </c>
      <c r="K77" s="6">
        <f>G77+IF($A77&gt;=Inputs!$B$21,Inputs!$B$20,0)-IF($A77&gt;=DATE(2026,12,4),Loan_Schedule!$B$4,0)-IF($A77&gt;=DATE(2027,1,4),Loan_Schedule!$B$4,0)</f>
        <v>4279551.8910259781</v>
      </c>
      <c r="L77" s="6">
        <f>F77+IF($A77&gt;=Inputs!$B$21,Inputs!$B$20,0)-IF($A77&gt;=DATE(2026,11,30),Inputs!$B$20+Loan_Schedule!$B$7,0)</f>
        <v>4284864.3835616438</v>
      </c>
      <c r="M77" s="6">
        <f>G77+IF($A77&gt;=Inputs!$B$21,Inputs!$B$20,0)-IF($A77&gt;=DATE(2026,11,30),Inputs!$B$20+Loan_Schedule!$B$7,0)</f>
        <v>4214381.6835616436</v>
      </c>
    </row>
    <row r="78" spans="1:13" x14ac:dyDescent="0.45">
      <c r="A78" s="3">
        <f>Forecast!A78</f>
        <v>46401</v>
      </c>
      <c r="B78" s="6">
        <f>SUMIFS(Outflows!$E$2:$E$18,Outflows!$B$2:$B$18,$A78,Outflows!$D$2:$D$18,"&lt;&gt;existing_emi_assumed")</f>
        <v>0</v>
      </c>
      <c r="C78" s="6">
        <f>SUMIFS(Outflows!$E$2:$E$18,Outflows!$B$2:$B$18,$A78,Outflows!$D$2:$D$18,"existing_emi_assumed")</f>
        <v>0</v>
      </c>
      <c r="D78" s="6">
        <f>Forecast!I78</f>
        <v>70000</v>
      </c>
      <c r="E78" s="6">
        <f>Forecast!H78</f>
        <v>69995.333333333328</v>
      </c>
      <c r="F78" s="6">
        <f t="shared" si="4"/>
        <v>4357500</v>
      </c>
      <c r="G78" s="6">
        <f t="shared" si="5"/>
        <v>4287012.6333333328</v>
      </c>
      <c r="H78" s="6">
        <f>F78+IF($A78&gt;=Inputs!$B$21,Inputs!$B$20,0)-IF($A78&gt;=DATE(2026,12,4),Loan_Schedule!$B$4,0)-IF($A78&gt;=DATE(2027,1,4),Loan_Schedule!$B$4,0)</f>
        <v>4420034.5910259783</v>
      </c>
      <c r="I78" s="6">
        <f>F78+IF(AND($A78&gt;=Inputs!$B$21,$A78&lt;Inputs!$B$23),Inputs!$B$22,0)</f>
        <v>4357500</v>
      </c>
      <c r="J78" s="6">
        <f>F78+(Inputs!$B$26/Inputs!$B$25)*(IF($A78&gt;=DATE(2026,10,31),290000,0)+IF($A78&gt;=DATE(2026,11,1),150000,0)+IF($A78&gt;=DATE(2026,11,4),520000,0))</f>
        <v>4537500</v>
      </c>
      <c r="K78" s="6">
        <f>G78+IF($A78&gt;=Inputs!$B$21,Inputs!$B$20,0)-IF($A78&gt;=DATE(2026,12,4),Loan_Schedule!$B$4,0)-IF($A78&gt;=DATE(2027,1,4),Loan_Schedule!$B$4,0)</f>
        <v>4349547.2243593112</v>
      </c>
      <c r="L78" s="6">
        <f>F78+IF($A78&gt;=Inputs!$B$21,Inputs!$B$20,0)-IF($A78&gt;=DATE(2026,11,30),Inputs!$B$20+Loan_Schedule!$B$7,0)</f>
        <v>4354864.3835616438</v>
      </c>
      <c r="M78" s="6">
        <f>G78+IF($A78&gt;=Inputs!$B$21,Inputs!$B$20,0)-IF($A78&gt;=DATE(2026,11,30),Inputs!$B$20+Loan_Schedule!$B$7,0)</f>
        <v>4284377.0168949766</v>
      </c>
    </row>
    <row r="79" spans="1:13" x14ac:dyDescent="0.45">
      <c r="A79" s="3">
        <f>Forecast!A79</f>
        <v>46402</v>
      </c>
      <c r="B79" s="6">
        <f>SUMIFS(Outflows!$E$2:$E$18,Outflows!$B$2:$B$18,$A79,Outflows!$D$2:$D$18,"&lt;&gt;existing_emi_assumed")</f>
        <v>0</v>
      </c>
      <c r="C79" s="6">
        <f>SUMIFS(Outflows!$E$2:$E$18,Outflows!$B$2:$B$18,$A79,Outflows!$D$2:$D$18,"existing_emi_assumed")</f>
        <v>0</v>
      </c>
      <c r="D79" s="6">
        <f>Forecast!I79</f>
        <v>70000</v>
      </c>
      <c r="E79" s="6">
        <f>Forecast!H79</f>
        <v>71603.416666666672</v>
      </c>
      <c r="F79" s="6">
        <f t="shared" si="4"/>
        <v>4427500</v>
      </c>
      <c r="G79" s="6">
        <f t="shared" si="5"/>
        <v>4358616.05</v>
      </c>
      <c r="H79" s="6">
        <f>F79+IF($A79&gt;=Inputs!$B$21,Inputs!$B$20,0)-IF($A79&gt;=DATE(2026,12,4),Loan_Schedule!$B$4,0)-IF($A79&gt;=DATE(2027,1,4),Loan_Schedule!$B$4,0)</f>
        <v>4490034.5910259783</v>
      </c>
      <c r="I79" s="6">
        <f>F79+IF(AND($A79&gt;=Inputs!$B$21,$A79&lt;Inputs!$B$23),Inputs!$B$22,0)</f>
        <v>4427500</v>
      </c>
      <c r="J79" s="6">
        <f>F79+(Inputs!$B$26/Inputs!$B$25)*(IF($A79&gt;=DATE(2026,10,31),290000,0)+IF($A79&gt;=DATE(2026,11,1),150000,0)+IF($A79&gt;=DATE(2026,11,4),520000,0))</f>
        <v>4607500</v>
      </c>
      <c r="K79" s="6">
        <f>G79+IF($A79&gt;=Inputs!$B$21,Inputs!$B$20,0)-IF($A79&gt;=DATE(2026,12,4),Loan_Schedule!$B$4,0)-IF($A79&gt;=DATE(2027,1,4),Loan_Schedule!$B$4,0)</f>
        <v>4421150.6410259781</v>
      </c>
      <c r="L79" s="6">
        <f>F79+IF($A79&gt;=Inputs!$B$21,Inputs!$B$20,0)-IF($A79&gt;=DATE(2026,11,30),Inputs!$B$20+Loan_Schedule!$B$7,0)</f>
        <v>4424864.3835616438</v>
      </c>
      <c r="M79" s="6">
        <f>G79+IF($A79&gt;=Inputs!$B$21,Inputs!$B$20,0)-IF($A79&gt;=DATE(2026,11,30),Inputs!$B$20+Loan_Schedule!$B$7,0)</f>
        <v>4355980.4335616436</v>
      </c>
    </row>
    <row r="80" spans="1:13" x14ac:dyDescent="0.45">
      <c r="A80" s="3">
        <f>Forecast!A80</f>
        <v>46403</v>
      </c>
      <c r="B80" s="6">
        <f>SUMIFS(Outflows!$E$2:$E$18,Outflows!$B$2:$B$18,$A80,Outflows!$D$2:$D$18,"&lt;&gt;existing_emi_assumed")</f>
        <v>0</v>
      </c>
      <c r="C80" s="6">
        <f>SUMIFS(Outflows!$E$2:$E$18,Outflows!$B$2:$B$18,$A80,Outflows!$D$2:$D$18,"existing_emi_assumed")</f>
        <v>0</v>
      </c>
      <c r="D80" s="6">
        <f>Forecast!I80</f>
        <v>70000</v>
      </c>
      <c r="E80" s="6">
        <f>Forecast!H80</f>
        <v>78226.583333333343</v>
      </c>
      <c r="F80" s="6">
        <f t="shared" si="4"/>
        <v>4497500</v>
      </c>
      <c r="G80" s="6">
        <f t="shared" si="5"/>
        <v>4436842.6333333328</v>
      </c>
      <c r="H80" s="6">
        <f>F80+IF($A80&gt;=Inputs!$B$21,Inputs!$B$20,0)-IF($A80&gt;=DATE(2026,12,4),Loan_Schedule!$B$4,0)-IF($A80&gt;=DATE(2027,1,4),Loan_Schedule!$B$4,0)</f>
        <v>4560034.5910259783</v>
      </c>
      <c r="I80" s="6">
        <f>F80+IF(AND($A80&gt;=Inputs!$B$21,$A80&lt;Inputs!$B$23),Inputs!$B$22,0)</f>
        <v>4497500</v>
      </c>
      <c r="J80" s="6">
        <f>F80+(Inputs!$B$26/Inputs!$B$25)*(IF($A80&gt;=DATE(2026,10,31),290000,0)+IF($A80&gt;=DATE(2026,11,1),150000,0)+IF($A80&gt;=DATE(2026,11,4),520000,0))</f>
        <v>4677500</v>
      </c>
      <c r="K80" s="6">
        <f>G80+IF($A80&gt;=Inputs!$B$21,Inputs!$B$20,0)-IF($A80&gt;=DATE(2026,12,4),Loan_Schedule!$B$4,0)-IF($A80&gt;=DATE(2027,1,4),Loan_Schedule!$B$4,0)</f>
        <v>4499377.2243593112</v>
      </c>
      <c r="L80" s="6">
        <f>F80+IF($A80&gt;=Inputs!$B$21,Inputs!$B$20,0)-IF($A80&gt;=DATE(2026,11,30),Inputs!$B$20+Loan_Schedule!$B$7,0)</f>
        <v>4494864.3835616438</v>
      </c>
      <c r="M80" s="6">
        <f>G80+IF($A80&gt;=Inputs!$B$21,Inputs!$B$20,0)-IF($A80&gt;=DATE(2026,11,30),Inputs!$B$20+Loan_Schedule!$B$7,0)</f>
        <v>4434207.0168949766</v>
      </c>
    </row>
    <row r="81" spans="1:13" x14ac:dyDescent="0.45">
      <c r="A81" s="3">
        <f>Forecast!A81</f>
        <v>46404</v>
      </c>
      <c r="B81" s="6">
        <f>SUMIFS(Outflows!$E$2:$E$18,Outflows!$B$2:$B$18,$A81,Outflows!$D$2:$D$18,"&lt;&gt;existing_emi_assumed")</f>
        <v>0</v>
      </c>
      <c r="C81" s="6">
        <f>SUMIFS(Outflows!$E$2:$E$18,Outflows!$B$2:$B$18,$A81,Outflows!$D$2:$D$18,"existing_emi_assumed")</f>
        <v>0</v>
      </c>
      <c r="D81" s="6">
        <f>Forecast!I81</f>
        <v>70000</v>
      </c>
      <c r="E81" s="6">
        <f>Forecast!H81</f>
        <v>72711</v>
      </c>
      <c r="F81" s="6">
        <f t="shared" si="4"/>
        <v>4567500</v>
      </c>
      <c r="G81" s="6">
        <f t="shared" si="5"/>
        <v>4509553.6333333328</v>
      </c>
      <c r="H81" s="6">
        <f>F81+IF($A81&gt;=Inputs!$B$21,Inputs!$B$20,0)-IF($A81&gt;=DATE(2026,12,4),Loan_Schedule!$B$4,0)-IF($A81&gt;=DATE(2027,1,4),Loan_Schedule!$B$4,0)</f>
        <v>4630034.5910259783</v>
      </c>
      <c r="I81" s="6">
        <f>F81+IF(AND($A81&gt;=Inputs!$B$21,$A81&lt;Inputs!$B$23),Inputs!$B$22,0)</f>
        <v>4567500</v>
      </c>
      <c r="J81" s="6">
        <f>F81+(Inputs!$B$26/Inputs!$B$25)*(IF($A81&gt;=DATE(2026,10,31),290000,0)+IF($A81&gt;=DATE(2026,11,1),150000,0)+IF($A81&gt;=DATE(2026,11,4),520000,0))</f>
        <v>4747500</v>
      </c>
      <c r="K81" s="6">
        <f>G81+IF($A81&gt;=Inputs!$B$21,Inputs!$B$20,0)-IF($A81&gt;=DATE(2026,12,4),Loan_Schedule!$B$4,0)-IF($A81&gt;=DATE(2027,1,4),Loan_Schedule!$B$4,0)</f>
        <v>4572088.2243593112</v>
      </c>
      <c r="L81" s="6">
        <f>F81+IF($A81&gt;=Inputs!$B$21,Inputs!$B$20,0)-IF($A81&gt;=DATE(2026,11,30),Inputs!$B$20+Loan_Schedule!$B$7,0)</f>
        <v>4564864.3835616438</v>
      </c>
      <c r="M81" s="6">
        <f>G81+IF($A81&gt;=Inputs!$B$21,Inputs!$B$20,0)-IF($A81&gt;=DATE(2026,11,30),Inputs!$B$20+Loan_Schedule!$B$7,0)</f>
        <v>4506918.0168949766</v>
      </c>
    </row>
    <row r="82" spans="1:13" x14ac:dyDescent="0.45">
      <c r="A82" s="3">
        <f>Forecast!A82</f>
        <v>46405</v>
      </c>
      <c r="B82" s="6">
        <f>SUMIFS(Outflows!$E$2:$E$18,Outflows!$B$2:$B$18,$A82,Outflows!$D$2:$D$18,"&lt;&gt;existing_emi_assumed")</f>
        <v>0</v>
      </c>
      <c r="C82" s="6">
        <f>SUMIFS(Outflows!$E$2:$E$18,Outflows!$B$2:$B$18,$A82,Outflows!$D$2:$D$18,"existing_emi_assumed")</f>
        <v>0</v>
      </c>
      <c r="D82" s="6">
        <f>Forecast!I82</f>
        <v>70000</v>
      </c>
      <c r="E82" s="6">
        <f>Forecast!H82</f>
        <v>63994.666666666664</v>
      </c>
      <c r="F82" s="6">
        <f t="shared" si="4"/>
        <v>4637500</v>
      </c>
      <c r="G82" s="6">
        <f t="shared" si="5"/>
        <v>4573548.3</v>
      </c>
      <c r="H82" s="6">
        <f>F82+IF($A82&gt;=Inputs!$B$21,Inputs!$B$20,0)-IF($A82&gt;=DATE(2026,12,4),Loan_Schedule!$B$4,0)-IF($A82&gt;=DATE(2027,1,4),Loan_Schedule!$B$4,0)</f>
        <v>4700034.5910259783</v>
      </c>
      <c r="I82" s="6">
        <f>F82+IF(AND($A82&gt;=Inputs!$B$21,$A82&lt;Inputs!$B$23),Inputs!$B$22,0)</f>
        <v>4637500</v>
      </c>
      <c r="J82" s="6">
        <f>F82+(Inputs!$B$26/Inputs!$B$25)*(IF($A82&gt;=DATE(2026,10,31),290000,0)+IF($A82&gt;=DATE(2026,11,1),150000,0)+IF($A82&gt;=DATE(2026,11,4),520000,0))</f>
        <v>4817500</v>
      </c>
      <c r="K82" s="6">
        <f>G82+IF($A82&gt;=Inputs!$B$21,Inputs!$B$20,0)-IF($A82&gt;=DATE(2026,12,4),Loan_Schedule!$B$4,0)-IF($A82&gt;=DATE(2027,1,4),Loan_Schedule!$B$4,0)</f>
        <v>4636082.8910259781</v>
      </c>
      <c r="L82" s="6">
        <f>F82+IF($A82&gt;=Inputs!$B$21,Inputs!$B$20,0)-IF($A82&gt;=DATE(2026,11,30),Inputs!$B$20+Loan_Schedule!$B$7,0)</f>
        <v>4634864.3835616438</v>
      </c>
      <c r="M82" s="6">
        <f>G82+IF($A82&gt;=Inputs!$B$21,Inputs!$B$20,0)-IF($A82&gt;=DATE(2026,11,30),Inputs!$B$20+Loan_Schedule!$B$7,0)</f>
        <v>4570912.6835616436</v>
      </c>
    </row>
    <row r="83" spans="1:13" x14ac:dyDescent="0.45">
      <c r="A83" s="3">
        <f>Forecast!A83</f>
        <v>46406</v>
      </c>
      <c r="B83" s="6">
        <f>SUMIFS(Outflows!$E$2:$E$18,Outflows!$B$2:$B$18,$A83,Outflows!$D$2:$D$18,"&lt;&gt;existing_emi_assumed")</f>
        <v>0</v>
      </c>
      <c r="C83" s="6">
        <f>SUMIFS(Outflows!$E$2:$E$18,Outflows!$B$2:$B$18,$A83,Outflows!$D$2:$D$18,"existing_emi_assumed")</f>
        <v>0</v>
      </c>
      <c r="D83" s="6">
        <f>Forecast!I83</f>
        <v>70000</v>
      </c>
      <c r="E83" s="6">
        <f>Forecast!H83</f>
        <v>66386.916666666672</v>
      </c>
      <c r="F83" s="6">
        <f t="shared" si="4"/>
        <v>4707500</v>
      </c>
      <c r="G83" s="6">
        <f t="shared" si="5"/>
        <v>4639935.2166666668</v>
      </c>
      <c r="H83" s="6">
        <f>F83+IF($A83&gt;=Inputs!$B$21,Inputs!$B$20,0)-IF($A83&gt;=DATE(2026,12,4),Loan_Schedule!$B$4,0)-IF($A83&gt;=DATE(2027,1,4),Loan_Schedule!$B$4,0)</f>
        <v>4770034.5910259783</v>
      </c>
      <c r="I83" s="6">
        <f>F83+IF(AND($A83&gt;=Inputs!$B$21,$A83&lt;Inputs!$B$23),Inputs!$B$22,0)</f>
        <v>4707500</v>
      </c>
      <c r="J83" s="6">
        <f>F83+(Inputs!$B$26/Inputs!$B$25)*(IF($A83&gt;=DATE(2026,10,31),290000,0)+IF($A83&gt;=DATE(2026,11,1),150000,0)+IF($A83&gt;=DATE(2026,11,4),520000,0))</f>
        <v>4887500</v>
      </c>
      <c r="K83" s="6">
        <f>G83+IF($A83&gt;=Inputs!$B$21,Inputs!$B$20,0)-IF($A83&gt;=DATE(2026,12,4),Loan_Schedule!$B$4,0)-IF($A83&gt;=DATE(2027,1,4),Loan_Schedule!$B$4,0)</f>
        <v>4702469.8076926451</v>
      </c>
      <c r="L83" s="6">
        <f>F83+IF($A83&gt;=Inputs!$B$21,Inputs!$B$20,0)-IF($A83&gt;=DATE(2026,11,30),Inputs!$B$20+Loan_Schedule!$B$7,0)</f>
        <v>4704864.3835616438</v>
      </c>
      <c r="M83" s="6">
        <f>G83+IF($A83&gt;=Inputs!$B$21,Inputs!$B$20,0)-IF($A83&gt;=DATE(2026,11,30),Inputs!$B$20+Loan_Schedule!$B$7,0)</f>
        <v>4637299.6002283106</v>
      </c>
    </row>
    <row r="84" spans="1:13" x14ac:dyDescent="0.45">
      <c r="A84" s="3">
        <f>Forecast!A84</f>
        <v>46407</v>
      </c>
      <c r="B84" s="6">
        <f>SUMIFS(Outflows!$E$2:$E$18,Outflows!$B$2:$B$18,$A84,Outflows!$D$2:$D$18,"&lt;&gt;existing_emi_assumed")</f>
        <v>42000</v>
      </c>
      <c r="C84" s="6">
        <f>SUMIFS(Outflows!$E$2:$E$18,Outflows!$B$2:$B$18,$A84,Outflows!$D$2:$D$18,"existing_emi_assumed")</f>
        <v>0</v>
      </c>
      <c r="D84" s="6">
        <f>Forecast!I84</f>
        <v>70000</v>
      </c>
      <c r="E84" s="6">
        <f>Forecast!H84</f>
        <v>68091.583333333343</v>
      </c>
      <c r="F84" s="6">
        <f t="shared" si="4"/>
        <v>4735500</v>
      </c>
      <c r="G84" s="6">
        <f t="shared" si="5"/>
        <v>4666026.8</v>
      </c>
      <c r="H84" s="6">
        <f>F84+IF($A84&gt;=Inputs!$B$21,Inputs!$B$20,0)-IF($A84&gt;=DATE(2026,12,4),Loan_Schedule!$B$4,0)-IF($A84&gt;=DATE(2027,1,4),Loan_Schedule!$B$4,0)</f>
        <v>4798034.5910259783</v>
      </c>
      <c r="I84" s="6">
        <f>F84+IF(AND($A84&gt;=Inputs!$B$21,$A84&lt;Inputs!$B$23),Inputs!$B$22,0)</f>
        <v>4735500</v>
      </c>
      <c r="J84" s="6">
        <f>F84+(Inputs!$B$26/Inputs!$B$25)*(IF($A84&gt;=DATE(2026,10,31),290000,0)+IF($A84&gt;=DATE(2026,11,1),150000,0)+IF($A84&gt;=DATE(2026,11,4),520000,0))</f>
        <v>4915500</v>
      </c>
      <c r="K84" s="6">
        <f>G84+IF($A84&gt;=Inputs!$B$21,Inputs!$B$20,0)-IF($A84&gt;=DATE(2026,12,4),Loan_Schedule!$B$4,0)-IF($A84&gt;=DATE(2027,1,4),Loan_Schedule!$B$4,0)</f>
        <v>4728561.3910259781</v>
      </c>
      <c r="L84" s="6">
        <f>F84+IF($A84&gt;=Inputs!$B$21,Inputs!$B$20,0)-IF($A84&gt;=DATE(2026,11,30),Inputs!$B$20+Loan_Schedule!$B$7,0)</f>
        <v>4732864.3835616438</v>
      </c>
      <c r="M84" s="6">
        <f>G84+IF($A84&gt;=Inputs!$B$21,Inputs!$B$20,0)-IF($A84&gt;=DATE(2026,11,30),Inputs!$B$20+Loan_Schedule!$B$7,0)</f>
        <v>4663391.1835616436</v>
      </c>
    </row>
    <row r="85" spans="1:13" x14ac:dyDescent="0.45">
      <c r="A85" s="3">
        <f>Forecast!A85</f>
        <v>46408</v>
      </c>
      <c r="B85" s="6">
        <f>SUMIFS(Outflows!$E$2:$E$18,Outflows!$B$2:$B$18,$A85,Outflows!$D$2:$D$18,"&lt;&gt;existing_emi_assumed")</f>
        <v>0</v>
      </c>
      <c r="C85" s="6">
        <f>SUMIFS(Outflows!$E$2:$E$18,Outflows!$B$2:$B$18,$A85,Outflows!$D$2:$D$18,"existing_emi_assumed")</f>
        <v>0</v>
      </c>
      <c r="D85" s="6">
        <f>Forecast!I85</f>
        <v>70000</v>
      </c>
      <c r="E85" s="6">
        <f>Forecast!H85</f>
        <v>69995.333333333328</v>
      </c>
      <c r="F85" s="6">
        <f t="shared" si="4"/>
        <v>4805500</v>
      </c>
      <c r="G85" s="6">
        <f t="shared" si="5"/>
        <v>4736022.1333333328</v>
      </c>
      <c r="H85" s="6">
        <f>F85+IF($A85&gt;=Inputs!$B$21,Inputs!$B$20,0)-IF($A85&gt;=DATE(2026,12,4),Loan_Schedule!$B$4,0)-IF($A85&gt;=DATE(2027,1,4),Loan_Schedule!$B$4,0)</f>
        <v>4868034.5910259783</v>
      </c>
      <c r="I85" s="6">
        <f>F85+IF(AND($A85&gt;=Inputs!$B$21,$A85&lt;Inputs!$B$23),Inputs!$B$22,0)</f>
        <v>4805500</v>
      </c>
      <c r="J85" s="6">
        <f>F85+(Inputs!$B$26/Inputs!$B$25)*(IF($A85&gt;=DATE(2026,10,31),290000,0)+IF($A85&gt;=DATE(2026,11,1),150000,0)+IF($A85&gt;=DATE(2026,11,4),520000,0))</f>
        <v>4985500</v>
      </c>
      <c r="K85" s="6">
        <f>G85+IF($A85&gt;=Inputs!$B$21,Inputs!$B$20,0)-IF($A85&gt;=DATE(2026,12,4),Loan_Schedule!$B$4,0)-IF($A85&gt;=DATE(2027,1,4),Loan_Schedule!$B$4,0)</f>
        <v>4798556.7243593112</v>
      </c>
      <c r="L85" s="6">
        <f>F85+IF($A85&gt;=Inputs!$B$21,Inputs!$B$20,0)-IF($A85&gt;=DATE(2026,11,30),Inputs!$B$20+Loan_Schedule!$B$7,0)</f>
        <v>4802864.3835616438</v>
      </c>
      <c r="M85" s="6">
        <f>G85+IF($A85&gt;=Inputs!$B$21,Inputs!$B$20,0)-IF($A85&gt;=DATE(2026,11,30),Inputs!$B$20+Loan_Schedule!$B$7,0)</f>
        <v>4733386.5168949766</v>
      </c>
    </row>
    <row r="86" spans="1:13" x14ac:dyDescent="0.45">
      <c r="A86" s="3">
        <f>Forecast!A86</f>
        <v>46409</v>
      </c>
      <c r="B86" s="6">
        <f>SUMIFS(Outflows!$E$2:$E$18,Outflows!$B$2:$B$18,$A86,Outflows!$D$2:$D$18,"&lt;&gt;existing_emi_assumed")</f>
        <v>0</v>
      </c>
      <c r="C86" s="6">
        <f>SUMIFS(Outflows!$E$2:$E$18,Outflows!$B$2:$B$18,$A86,Outflows!$D$2:$D$18,"existing_emi_assumed")</f>
        <v>0</v>
      </c>
      <c r="D86" s="6">
        <f>Forecast!I86</f>
        <v>70000</v>
      </c>
      <c r="E86" s="6">
        <f>Forecast!H86</f>
        <v>71603.416666666672</v>
      </c>
      <c r="F86" s="6">
        <f t="shared" si="4"/>
        <v>4875500</v>
      </c>
      <c r="G86" s="6">
        <f t="shared" si="5"/>
        <v>4807625.55</v>
      </c>
      <c r="H86" s="6">
        <f>F86+IF($A86&gt;=Inputs!$B$21,Inputs!$B$20,0)-IF($A86&gt;=DATE(2026,12,4),Loan_Schedule!$B$4,0)-IF($A86&gt;=DATE(2027,1,4),Loan_Schedule!$B$4,0)</f>
        <v>4938034.5910259783</v>
      </c>
      <c r="I86" s="6">
        <f>F86+IF(AND($A86&gt;=Inputs!$B$21,$A86&lt;Inputs!$B$23),Inputs!$B$22,0)</f>
        <v>4875500</v>
      </c>
      <c r="J86" s="6">
        <f>F86+(Inputs!$B$26/Inputs!$B$25)*(IF($A86&gt;=DATE(2026,10,31),290000,0)+IF($A86&gt;=DATE(2026,11,1),150000,0)+IF($A86&gt;=DATE(2026,11,4),520000,0))</f>
        <v>5055500</v>
      </c>
      <c r="K86" s="6">
        <f>G86+IF($A86&gt;=Inputs!$B$21,Inputs!$B$20,0)-IF($A86&gt;=DATE(2026,12,4),Loan_Schedule!$B$4,0)-IF($A86&gt;=DATE(2027,1,4),Loan_Schedule!$B$4,0)</f>
        <v>4870160.1410259781</v>
      </c>
      <c r="L86" s="6">
        <f>F86+IF($A86&gt;=Inputs!$B$21,Inputs!$B$20,0)-IF($A86&gt;=DATE(2026,11,30),Inputs!$B$20+Loan_Schedule!$B$7,0)</f>
        <v>4872864.3835616438</v>
      </c>
      <c r="M86" s="6">
        <f>G86+IF($A86&gt;=Inputs!$B$21,Inputs!$B$20,0)-IF($A86&gt;=DATE(2026,11,30),Inputs!$B$20+Loan_Schedule!$B$7,0)</f>
        <v>4804989.9335616436</v>
      </c>
    </row>
    <row r="87" spans="1:13" x14ac:dyDescent="0.45">
      <c r="A87" s="3">
        <f>Forecast!A87</f>
        <v>46410</v>
      </c>
      <c r="B87" s="6">
        <f>SUMIFS(Outflows!$E$2:$E$18,Outflows!$B$2:$B$18,$A87,Outflows!$D$2:$D$18,"&lt;&gt;existing_emi_assumed")</f>
        <v>0</v>
      </c>
      <c r="C87" s="6">
        <f>SUMIFS(Outflows!$E$2:$E$18,Outflows!$B$2:$B$18,$A87,Outflows!$D$2:$D$18,"existing_emi_assumed")</f>
        <v>0</v>
      </c>
      <c r="D87" s="6">
        <f>Forecast!I87</f>
        <v>70000</v>
      </c>
      <c r="E87" s="6">
        <f>Forecast!H87</f>
        <v>78226.583333333343</v>
      </c>
      <c r="F87" s="6">
        <f t="shared" si="4"/>
        <v>4945500</v>
      </c>
      <c r="G87" s="6">
        <f t="shared" si="5"/>
        <v>4885852.1333333328</v>
      </c>
      <c r="H87" s="6">
        <f>F87+IF($A87&gt;=Inputs!$B$21,Inputs!$B$20,0)-IF($A87&gt;=DATE(2026,12,4),Loan_Schedule!$B$4,0)-IF($A87&gt;=DATE(2027,1,4),Loan_Schedule!$B$4,0)</f>
        <v>5008034.5910259783</v>
      </c>
      <c r="I87" s="6">
        <f>F87+IF(AND($A87&gt;=Inputs!$B$21,$A87&lt;Inputs!$B$23),Inputs!$B$22,0)</f>
        <v>4945500</v>
      </c>
      <c r="J87" s="6">
        <f>F87+(Inputs!$B$26/Inputs!$B$25)*(IF($A87&gt;=DATE(2026,10,31),290000,0)+IF($A87&gt;=DATE(2026,11,1),150000,0)+IF($A87&gt;=DATE(2026,11,4),520000,0))</f>
        <v>5125500</v>
      </c>
      <c r="K87" s="6">
        <f>G87+IF($A87&gt;=Inputs!$B$21,Inputs!$B$20,0)-IF($A87&gt;=DATE(2026,12,4),Loan_Schedule!$B$4,0)-IF($A87&gt;=DATE(2027,1,4),Loan_Schedule!$B$4,0)</f>
        <v>4948386.7243593112</v>
      </c>
      <c r="L87" s="6">
        <f>F87+IF($A87&gt;=Inputs!$B$21,Inputs!$B$20,0)-IF($A87&gt;=DATE(2026,11,30),Inputs!$B$20+Loan_Schedule!$B$7,0)</f>
        <v>4942864.3835616438</v>
      </c>
      <c r="M87" s="6">
        <f>G87+IF($A87&gt;=Inputs!$B$21,Inputs!$B$20,0)-IF($A87&gt;=DATE(2026,11,30),Inputs!$B$20+Loan_Schedule!$B$7,0)</f>
        <v>4883216.5168949766</v>
      </c>
    </row>
    <row r="88" spans="1:13" x14ac:dyDescent="0.45">
      <c r="A88" s="3">
        <f>Forecast!A88</f>
        <v>46411</v>
      </c>
      <c r="B88" s="6">
        <f>SUMIFS(Outflows!$E$2:$E$18,Outflows!$B$2:$B$18,$A88,Outflows!$D$2:$D$18,"&lt;&gt;existing_emi_assumed")</f>
        <v>0</v>
      </c>
      <c r="C88" s="6">
        <f>SUMIFS(Outflows!$E$2:$E$18,Outflows!$B$2:$B$18,$A88,Outflows!$D$2:$D$18,"existing_emi_assumed")</f>
        <v>0</v>
      </c>
      <c r="D88" s="6">
        <f>Forecast!I88</f>
        <v>70000</v>
      </c>
      <c r="E88" s="6">
        <f>Forecast!H88</f>
        <v>72711</v>
      </c>
      <c r="F88" s="6">
        <f t="shared" si="4"/>
        <v>5015500</v>
      </c>
      <c r="G88" s="6">
        <f t="shared" si="5"/>
        <v>4958563.1333333328</v>
      </c>
      <c r="H88" s="6">
        <f>F88+IF($A88&gt;=Inputs!$B$21,Inputs!$B$20,0)-IF($A88&gt;=DATE(2026,12,4),Loan_Schedule!$B$4,0)-IF($A88&gt;=DATE(2027,1,4),Loan_Schedule!$B$4,0)</f>
        <v>5078034.5910259783</v>
      </c>
      <c r="I88" s="6">
        <f>F88+IF(AND($A88&gt;=Inputs!$B$21,$A88&lt;Inputs!$B$23),Inputs!$B$22,0)</f>
        <v>5015500</v>
      </c>
      <c r="J88" s="6">
        <f>F88+(Inputs!$B$26/Inputs!$B$25)*(IF($A88&gt;=DATE(2026,10,31),290000,0)+IF($A88&gt;=DATE(2026,11,1),150000,0)+IF($A88&gt;=DATE(2026,11,4),520000,0))</f>
        <v>5195500</v>
      </c>
      <c r="K88" s="6">
        <f>G88+IF($A88&gt;=Inputs!$B$21,Inputs!$B$20,0)-IF($A88&gt;=DATE(2026,12,4),Loan_Schedule!$B$4,0)-IF($A88&gt;=DATE(2027,1,4),Loan_Schedule!$B$4,0)</f>
        <v>5021097.7243593112</v>
      </c>
      <c r="L88" s="6">
        <f>F88+IF($A88&gt;=Inputs!$B$21,Inputs!$B$20,0)-IF($A88&gt;=DATE(2026,11,30),Inputs!$B$20+Loan_Schedule!$B$7,0)</f>
        <v>5012864.3835616438</v>
      </c>
      <c r="M88" s="6">
        <f>G88+IF($A88&gt;=Inputs!$B$21,Inputs!$B$20,0)-IF($A88&gt;=DATE(2026,11,30),Inputs!$B$20+Loan_Schedule!$B$7,0)</f>
        <v>4955927.5168949766</v>
      </c>
    </row>
    <row r="89" spans="1:13" x14ac:dyDescent="0.45">
      <c r="A89" s="3">
        <f>Forecast!A89</f>
        <v>46412</v>
      </c>
      <c r="B89" s="6">
        <f>SUMIFS(Outflows!$E$2:$E$18,Outflows!$B$2:$B$18,$A89,Outflows!$D$2:$D$18,"&lt;&gt;existing_emi_assumed")</f>
        <v>0</v>
      </c>
      <c r="C89" s="6">
        <f>SUMIFS(Outflows!$E$2:$E$18,Outflows!$B$2:$B$18,$A89,Outflows!$D$2:$D$18,"existing_emi_assumed")</f>
        <v>0</v>
      </c>
      <c r="D89" s="6">
        <f>Forecast!I89</f>
        <v>70000</v>
      </c>
      <c r="E89" s="6">
        <f>Forecast!H89</f>
        <v>63994.666666666664</v>
      </c>
      <c r="F89" s="6">
        <f t="shared" si="4"/>
        <v>5085500</v>
      </c>
      <c r="G89" s="6">
        <f t="shared" si="5"/>
        <v>5022557.8</v>
      </c>
      <c r="H89" s="6">
        <f>F89+IF($A89&gt;=Inputs!$B$21,Inputs!$B$20,0)-IF($A89&gt;=DATE(2026,12,4),Loan_Schedule!$B$4,0)-IF($A89&gt;=DATE(2027,1,4),Loan_Schedule!$B$4,0)</f>
        <v>5148034.5910259783</v>
      </c>
      <c r="I89" s="6">
        <f>F89+IF(AND($A89&gt;=Inputs!$B$21,$A89&lt;Inputs!$B$23),Inputs!$B$22,0)</f>
        <v>5085500</v>
      </c>
      <c r="J89" s="6">
        <f>F89+(Inputs!$B$26/Inputs!$B$25)*(IF($A89&gt;=DATE(2026,10,31),290000,0)+IF($A89&gt;=DATE(2026,11,1),150000,0)+IF($A89&gt;=DATE(2026,11,4),520000,0))</f>
        <v>5265500</v>
      </c>
      <c r="K89" s="6">
        <f>G89+IF($A89&gt;=Inputs!$B$21,Inputs!$B$20,0)-IF($A89&gt;=DATE(2026,12,4),Loan_Schedule!$B$4,0)-IF($A89&gt;=DATE(2027,1,4),Loan_Schedule!$B$4,0)</f>
        <v>5085092.3910259781</v>
      </c>
      <c r="L89" s="6">
        <f>F89+IF($A89&gt;=Inputs!$B$21,Inputs!$B$20,0)-IF($A89&gt;=DATE(2026,11,30),Inputs!$B$20+Loan_Schedule!$B$7,0)</f>
        <v>5082864.3835616438</v>
      </c>
      <c r="M89" s="6">
        <f>G89+IF($A89&gt;=Inputs!$B$21,Inputs!$B$20,0)-IF($A89&gt;=DATE(2026,11,30),Inputs!$B$20+Loan_Schedule!$B$7,0)</f>
        <v>5019922.1835616436</v>
      </c>
    </row>
    <row r="90" spans="1:13" x14ac:dyDescent="0.45">
      <c r="A90" s="3">
        <f>Forecast!A90</f>
        <v>46413</v>
      </c>
      <c r="B90" s="6">
        <f>SUMIFS(Outflows!$E$2:$E$18,Outflows!$B$2:$B$18,$A90,Outflows!$D$2:$D$18,"&lt;&gt;existing_emi_assumed")</f>
        <v>0</v>
      </c>
      <c r="C90" s="6">
        <f>SUMIFS(Outflows!$E$2:$E$18,Outflows!$B$2:$B$18,$A90,Outflows!$D$2:$D$18,"existing_emi_assumed")</f>
        <v>0</v>
      </c>
      <c r="D90" s="6">
        <f>Forecast!I90</f>
        <v>70000</v>
      </c>
      <c r="E90" s="6">
        <f>Forecast!H90</f>
        <v>66386.916666666672</v>
      </c>
      <c r="F90" s="6">
        <f t="shared" si="4"/>
        <v>5155500</v>
      </c>
      <c r="G90" s="6">
        <f t="shared" si="5"/>
        <v>5088944.7166666668</v>
      </c>
      <c r="H90" s="6">
        <f>F90+IF($A90&gt;=Inputs!$B$21,Inputs!$B$20,0)-IF($A90&gt;=DATE(2026,12,4),Loan_Schedule!$B$4,0)-IF($A90&gt;=DATE(2027,1,4),Loan_Schedule!$B$4,0)</f>
        <v>5218034.5910259783</v>
      </c>
      <c r="I90" s="6">
        <f>F90+IF(AND($A90&gt;=Inputs!$B$21,$A90&lt;Inputs!$B$23),Inputs!$B$22,0)</f>
        <v>5155500</v>
      </c>
      <c r="J90" s="6">
        <f>F90+(Inputs!$B$26/Inputs!$B$25)*(IF($A90&gt;=DATE(2026,10,31),290000,0)+IF($A90&gt;=DATE(2026,11,1),150000,0)+IF($A90&gt;=DATE(2026,11,4),520000,0))</f>
        <v>5335500</v>
      </c>
      <c r="K90" s="6">
        <f>G90+IF($A90&gt;=Inputs!$B$21,Inputs!$B$20,0)-IF($A90&gt;=DATE(2026,12,4),Loan_Schedule!$B$4,0)-IF($A90&gt;=DATE(2027,1,4),Loan_Schedule!$B$4,0)</f>
        <v>5151479.3076926451</v>
      </c>
      <c r="L90" s="6">
        <f>F90+IF($A90&gt;=Inputs!$B$21,Inputs!$B$20,0)-IF($A90&gt;=DATE(2026,11,30),Inputs!$B$20+Loan_Schedule!$B$7,0)</f>
        <v>5152864.3835616438</v>
      </c>
      <c r="M90" s="6">
        <f>G90+IF($A90&gt;=Inputs!$B$21,Inputs!$B$20,0)-IF($A90&gt;=DATE(2026,11,30),Inputs!$B$20+Loan_Schedule!$B$7,0)</f>
        <v>5086309.1002283106</v>
      </c>
    </row>
    <row r="91" spans="1:13" x14ac:dyDescent="0.45">
      <c r="A91" s="3">
        <f>Forecast!A91</f>
        <v>46414</v>
      </c>
      <c r="B91" s="6">
        <f>SUMIFS(Outflows!$E$2:$E$18,Outflows!$B$2:$B$18,$A91,Outflows!$D$2:$D$18,"&lt;&gt;existing_emi_assumed")</f>
        <v>0</v>
      </c>
      <c r="C91" s="6">
        <f>SUMIFS(Outflows!$E$2:$E$18,Outflows!$B$2:$B$18,$A91,Outflows!$D$2:$D$18,"existing_emi_assumed")</f>
        <v>0</v>
      </c>
      <c r="D91" s="6">
        <f>Forecast!I91</f>
        <v>70000</v>
      </c>
      <c r="E91" s="6">
        <f>Forecast!H91</f>
        <v>68091.583333333343</v>
      </c>
      <c r="F91" s="6">
        <f t="shared" si="4"/>
        <v>5225500</v>
      </c>
      <c r="G91" s="6">
        <f t="shared" si="5"/>
        <v>5157036.3</v>
      </c>
      <c r="H91" s="6">
        <f>F91+IF($A91&gt;=Inputs!$B$21,Inputs!$B$20,0)-IF($A91&gt;=DATE(2026,12,4),Loan_Schedule!$B$4,0)-IF($A91&gt;=DATE(2027,1,4),Loan_Schedule!$B$4,0)</f>
        <v>5288034.5910259783</v>
      </c>
      <c r="I91" s="6">
        <f>F91+IF(AND($A91&gt;=Inputs!$B$21,$A91&lt;Inputs!$B$23),Inputs!$B$22,0)</f>
        <v>5225500</v>
      </c>
      <c r="J91" s="6">
        <f>F91+(Inputs!$B$26/Inputs!$B$25)*(IF($A91&gt;=DATE(2026,10,31),290000,0)+IF($A91&gt;=DATE(2026,11,1),150000,0)+IF($A91&gt;=DATE(2026,11,4),520000,0))</f>
        <v>5405500</v>
      </c>
      <c r="K91" s="6">
        <f>G91+IF($A91&gt;=Inputs!$B$21,Inputs!$B$20,0)-IF($A91&gt;=DATE(2026,12,4),Loan_Schedule!$B$4,0)-IF($A91&gt;=DATE(2027,1,4),Loan_Schedule!$B$4,0)</f>
        <v>5219570.8910259781</v>
      </c>
      <c r="L91" s="6">
        <f>F91+IF($A91&gt;=Inputs!$B$21,Inputs!$B$20,0)-IF($A91&gt;=DATE(2026,11,30),Inputs!$B$20+Loan_Schedule!$B$7,0)</f>
        <v>5222864.3835616438</v>
      </c>
      <c r="M91" s="6">
        <f>G91+IF($A91&gt;=Inputs!$B$21,Inputs!$B$20,0)-IF($A91&gt;=DATE(2026,11,30),Inputs!$B$20+Loan_Schedule!$B$7,0)</f>
        <v>5154400.6835616436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17"/>
  <sheetViews>
    <sheetView workbookViewId="0"/>
  </sheetViews>
  <sheetFormatPr defaultRowHeight="14.25" x14ac:dyDescent="0.45"/>
  <cols>
    <col min="1" max="1" width="52" customWidth="1"/>
  </cols>
  <sheetData>
    <row r="1" spans="1:4" x14ac:dyDescent="0.45">
      <c r="A1" s="5" t="s">
        <v>125</v>
      </c>
    </row>
    <row r="2" spans="1:4" x14ac:dyDescent="0.45">
      <c r="A2" t="s">
        <v>126</v>
      </c>
    </row>
    <row r="3" spans="1:4" x14ac:dyDescent="0.45">
      <c r="A3" t="s">
        <v>127</v>
      </c>
      <c r="B3" s="1">
        <v>0.185</v>
      </c>
    </row>
    <row r="4" spans="1:4" x14ac:dyDescent="0.45">
      <c r="A4" t="s">
        <v>128</v>
      </c>
      <c r="B4" s="6">
        <f>PMT(B3/12,3,-200000)</f>
        <v>68732.70448701104</v>
      </c>
    </row>
    <row r="5" spans="1:4" x14ac:dyDescent="0.45">
      <c r="A5" t="s">
        <v>129</v>
      </c>
      <c r="B5" s="6">
        <f>PMT(0.22/12,3,-200000)</f>
        <v>69125.913285287461</v>
      </c>
    </row>
    <row r="6" spans="1:4" x14ac:dyDescent="0.45">
      <c r="A6" t="s">
        <v>130</v>
      </c>
      <c r="B6" s="6">
        <f>PMT(0.265/12,6,-200000)</f>
        <v>35956.605208469933</v>
      </c>
    </row>
    <row r="7" spans="1:4" x14ac:dyDescent="0.45">
      <c r="A7" t="s">
        <v>131</v>
      </c>
      <c r="B7" s="6">
        <f>Inputs!$B$20*B3*Inputs!$B$19/365</f>
        <v>2635.6164383561645</v>
      </c>
    </row>
    <row r="8" spans="1:4" x14ac:dyDescent="0.45">
      <c r="A8" t="s">
        <v>132</v>
      </c>
    </row>
    <row r="9" spans="1:4" x14ac:dyDescent="0.45">
      <c r="A9" s="5" t="s">
        <v>133</v>
      </c>
    </row>
    <row r="10" spans="1:4" x14ac:dyDescent="0.45">
      <c r="A10" t="s">
        <v>134</v>
      </c>
      <c r="B10" t="s">
        <v>135</v>
      </c>
      <c r="C10" t="s">
        <v>136</v>
      </c>
      <c r="D10" t="s">
        <v>137</v>
      </c>
    </row>
    <row r="11" spans="1:4" x14ac:dyDescent="0.45">
      <c r="A11">
        <v>1</v>
      </c>
      <c r="B11" s="6">
        <f>200000*$B$3/12</f>
        <v>3083.3333333333335</v>
      </c>
      <c r="C11" s="6">
        <f>$B$4-B11</f>
        <v>65649.371153677712</v>
      </c>
      <c r="D11" s="6">
        <f>200000-C11</f>
        <v>134350.6288463223</v>
      </c>
    </row>
    <row r="12" spans="1:4" x14ac:dyDescent="0.45">
      <c r="A12">
        <v>2</v>
      </c>
      <c r="B12" s="6">
        <f>D11*$B$3/12</f>
        <v>2071.2388613808021</v>
      </c>
      <c r="C12" s="6">
        <f>$B$4-B12</f>
        <v>66661.465625630241</v>
      </c>
      <c r="D12" s="6">
        <f>D11-C12</f>
        <v>67689.163220692062</v>
      </c>
    </row>
    <row r="13" spans="1:4" x14ac:dyDescent="0.45">
      <c r="A13">
        <v>3</v>
      </c>
      <c r="B13" s="6">
        <f>D12*$B$3/12</f>
        <v>1043.5412663190025</v>
      </c>
      <c r="C13" s="6">
        <f>$B$4-B13</f>
        <v>67689.163220692033</v>
      </c>
      <c r="D13" s="6">
        <f>D12-C13</f>
        <v>0</v>
      </c>
    </row>
    <row r="15" spans="1:4" x14ac:dyDescent="0.45">
      <c r="A15" t="s">
        <v>138</v>
      </c>
    </row>
    <row r="16" spans="1:4" x14ac:dyDescent="0.45">
      <c r="A16" t="s">
        <v>139</v>
      </c>
    </row>
    <row r="17" spans="1:1" x14ac:dyDescent="0.45">
      <c r="A17" t="s">
        <v>140</v>
      </c>
    </row>
  </sheetData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16"/>
  <sheetViews>
    <sheetView workbookViewId="0"/>
  </sheetViews>
  <sheetFormatPr defaultRowHeight="14.25" x14ac:dyDescent="0.45"/>
  <cols>
    <col min="1" max="1" width="72" customWidth="1"/>
  </cols>
  <sheetData>
    <row r="1" spans="1:2" x14ac:dyDescent="0.45">
      <c r="A1" s="5" t="s">
        <v>141</v>
      </c>
    </row>
    <row r="3" spans="1:2" x14ac:dyDescent="0.45">
      <c r="A3" t="s">
        <v>142</v>
      </c>
      <c r="B3" s="7">
        <f>Inputs!$B$14/30</f>
        <v>63333.333333333336</v>
      </c>
    </row>
    <row r="4" spans="1:2" x14ac:dyDescent="0.45">
      <c r="A4" t="s">
        <v>143</v>
      </c>
      <c r="B4" s="7">
        <f>B3*Inputs!$B$13</f>
        <v>5066.666666666667</v>
      </c>
    </row>
    <row r="5" spans="1:2" x14ac:dyDescent="0.45">
      <c r="A5" t="s">
        <v>144</v>
      </c>
      <c r="B5" s="6">
        <f>B4*30</f>
        <v>152000</v>
      </c>
    </row>
    <row r="6" spans="1:2" x14ac:dyDescent="0.45">
      <c r="A6" t="s">
        <v>145</v>
      </c>
      <c r="B6" s="6">
        <f>Inputs!$B$15</f>
        <v>22000</v>
      </c>
    </row>
    <row r="7" spans="1:2" x14ac:dyDescent="0.45">
      <c r="A7" t="s">
        <v>146</v>
      </c>
      <c r="B7" s="6">
        <f>Loan_Schedule!B4</f>
        <v>68732.70448701104</v>
      </c>
    </row>
    <row r="8" spans="1:2" x14ac:dyDescent="0.45">
      <c r="A8" t="s">
        <v>147</v>
      </c>
      <c r="B8" s="6">
        <f>B6+B7</f>
        <v>90732.70448701104</v>
      </c>
    </row>
    <row r="9" spans="1:2" x14ac:dyDescent="0.45">
      <c r="A9" t="s">
        <v>148</v>
      </c>
      <c r="B9" t="b">
        <f>B8&lt;=B5</f>
        <v>1</v>
      </c>
    </row>
    <row r="10" spans="1:2" x14ac:dyDescent="0.45">
      <c r="A10" t="s">
        <v>149</v>
      </c>
      <c r="B10" t="b">
        <f>B8/30&lt;=B4</f>
        <v>1</v>
      </c>
    </row>
    <row r="12" spans="1:2" x14ac:dyDescent="0.45">
      <c r="A12" t="s">
        <v>150</v>
      </c>
      <c r="B12" s="6">
        <f>(SUMIFS(History_DAD!$C$2:$C$548,History_DAD!$A$2:$A$548,"&gt;="&amp;(Inputs!$B$4-30))+SUMIFS(History_MAT!$C$2:$C$548,History_MAT!$A$2:$A$548,"&gt;="&amp;(Inputs!$B$4-30))+SUMIFS(History_SIO!$C$2:$C$548,History_SIO!$A$2:$A$548,"&gt;="&amp;(Inputs!$B$4-30)))/30</f>
        <v>70163.46666666666</v>
      </c>
    </row>
    <row r="13" spans="1:2" x14ac:dyDescent="0.45">
      <c r="A13" t="s">
        <v>151</v>
      </c>
    </row>
    <row r="15" spans="1:2" x14ac:dyDescent="0.45">
      <c r="A15" t="s">
        <v>152</v>
      </c>
    </row>
    <row r="16" spans="1:2" x14ac:dyDescent="0.45">
      <c r="A16" t="s">
        <v>153</v>
      </c>
    </row>
  </sheetData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30"/>
  <sheetViews>
    <sheetView workbookViewId="0"/>
  </sheetViews>
  <sheetFormatPr defaultRowHeight="14.25" x14ac:dyDescent="0.45"/>
  <cols>
    <col min="1" max="1" width="62" customWidth="1"/>
    <col min="3" max="3" width="14" customWidth="1"/>
  </cols>
  <sheetData>
    <row r="1" spans="1:2" x14ac:dyDescent="0.45">
      <c r="A1" s="5" t="s">
        <v>154</v>
      </c>
    </row>
    <row r="3" spans="1:2" x14ac:dyDescent="0.45">
      <c r="A3" s="5" t="s">
        <v>155</v>
      </c>
    </row>
    <row r="4" spans="1:2" x14ac:dyDescent="0.45">
      <c r="A4" t="s">
        <v>156</v>
      </c>
      <c r="B4" s="6">
        <f>INDEX(Daily_Cash!F2:F91,MATCH(DATE(2026,11,4),Daily_Cash!$A$2:$A$91,0))</f>
        <v>-145000</v>
      </c>
    </row>
    <row r="5" spans="1:2" x14ac:dyDescent="0.45">
      <c r="A5" t="s">
        <v>157</v>
      </c>
      <c r="B5" s="6">
        <f>INDEX(Daily_Cash!F2:F91,MATCH(DATE(2026,11,5),Daily_Cash!$A$2:$A$91,0))</f>
        <v>-184500</v>
      </c>
    </row>
    <row r="6" spans="1:2" x14ac:dyDescent="0.45">
      <c r="A6" t="s">
        <v>158</v>
      </c>
      <c r="B6" s="6">
        <f>INDEX(Daily_Cash!F2:F91,MATCH(DATE(2026,11,7),Daily_Cash!$A$2:$A$91,0))</f>
        <v>55500</v>
      </c>
    </row>
    <row r="7" spans="1:2" x14ac:dyDescent="0.45">
      <c r="A7" t="s">
        <v>159</v>
      </c>
      <c r="B7" s="6">
        <f>INDEX(Daily_Cash!G2:G91,MATCH(DATE(2026,11,5),Daily_Cash!$A$2:$A$91,0))</f>
        <v>-215733.9916666667</v>
      </c>
    </row>
    <row r="9" spans="1:2" x14ac:dyDescent="0.45">
      <c r="A9" s="5" t="s">
        <v>160</v>
      </c>
    </row>
    <row r="10" spans="1:2" x14ac:dyDescent="0.45">
      <c r="A10" t="s">
        <v>161</v>
      </c>
      <c r="B10" s="6">
        <f>MIN(Daily_Cash!I2:I91)</f>
        <v>15500</v>
      </c>
    </row>
    <row r="11" spans="1:2" x14ac:dyDescent="0.45">
      <c r="A11" t="s">
        <v>162</v>
      </c>
      <c r="B11" s="6">
        <f>INDEX(Daily_Cash!G2:G91,MATCH(DATE(2026,11,5),Daily_Cash!$A$2:$A$91,0))+Inputs!$B$22</f>
        <v>-15733.991666666698</v>
      </c>
    </row>
    <row r="12" spans="1:2" x14ac:dyDescent="0.45">
      <c r="A12" t="s">
        <v>163</v>
      </c>
    </row>
    <row r="14" spans="1:2" x14ac:dyDescent="0.45">
      <c r="A14" s="5" t="s">
        <v>164</v>
      </c>
    </row>
    <row r="15" spans="1:2" x14ac:dyDescent="0.45">
      <c r="A15" t="s">
        <v>165</v>
      </c>
    </row>
    <row r="16" spans="1:2" x14ac:dyDescent="0.45">
      <c r="A16" t="s">
        <v>166</v>
      </c>
      <c r="B16" s="6">
        <f>Loan_Schedule!B7</f>
        <v>2635.6164383561645</v>
      </c>
    </row>
    <row r="17" spans="1:2" x14ac:dyDescent="0.45">
      <c r="A17" t="s">
        <v>167</v>
      </c>
      <c r="B17" s="6">
        <f>INDEX(Daily_Cash!L2:L91,MATCH(DATE(2026,11,5),Daily_Cash!$A$2:$A$91,0))</f>
        <v>15500</v>
      </c>
    </row>
    <row r="18" spans="1:2" x14ac:dyDescent="0.45">
      <c r="A18" t="s">
        <v>168</v>
      </c>
      <c r="B18" s="6">
        <f>INDEX(Daily_Cash!L2:L91,MATCH(DATE(2026,11,30),Daily_Cash!$A$2:$A$91,0))</f>
        <v>1670864.3835616438</v>
      </c>
    </row>
    <row r="19" spans="1:2" x14ac:dyDescent="0.45">
      <c r="A19" t="s">
        <v>169</v>
      </c>
      <c r="B19" s="6">
        <f>INDEX(Daily_Cash!M2:M91,MATCH(DATE(2026,11,5),Daily_Cash!$A$2:$A$91,0))</f>
        <v>-15733.991666666698</v>
      </c>
    </row>
    <row r="20" spans="1:2" x14ac:dyDescent="0.45">
      <c r="A20" t="s">
        <v>170</v>
      </c>
    </row>
    <row r="21" spans="1:2" x14ac:dyDescent="0.45">
      <c r="A21" t="s">
        <v>171</v>
      </c>
      <c r="B21" s="6">
        <f>Loan_Schedule!B4</f>
        <v>68732.70448701104</v>
      </c>
    </row>
    <row r="22" spans="1:2" x14ac:dyDescent="0.45">
      <c r="A22" t="s">
        <v>167</v>
      </c>
      <c r="B22" s="6">
        <f>INDEX(Daily_Cash!H2:H91,MATCH(DATE(2026,11,5),Daily_Cash!$A$2:$A$91,0))</f>
        <v>15500</v>
      </c>
    </row>
    <row r="23" spans="1:2" x14ac:dyDescent="0.45">
      <c r="A23" t="s">
        <v>172</v>
      </c>
      <c r="B23" s="6">
        <f>MIN(Daily_Cash!H2:H91)</f>
        <v>15500</v>
      </c>
    </row>
    <row r="24" spans="1:2" x14ac:dyDescent="0.45">
      <c r="A24" t="s">
        <v>169</v>
      </c>
      <c r="B24" s="6">
        <f>INDEX(Daily_Cash!K2:K91,MATCH(DATE(2026,11,5),Daily_Cash!$A$2:$A$91,0))</f>
        <v>-15733.991666666698</v>
      </c>
    </row>
    <row r="25" spans="1:2" x14ac:dyDescent="0.45">
      <c r="A25" t="s">
        <v>173</v>
      </c>
    </row>
    <row r="27" spans="1:2" x14ac:dyDescent="0.45">
      <c r="A27" s="5" t="s">
        <v>174</v>
      </c>
    </row>
    <row r="28" spans="1:2" x14ac:dyDescent="0.45">
      <c r="A28" t="s">
        <v>175</v>
      </c>
      <c r="B28" s="6">
        <f>Inputs!$B$26*Inputs!$B$18</f>
        <v>27000</v>
      </c>
    </row>
    <row r="29" spans="1:2" x14ac:dyDescent="0.45">
      <c r="A29" t="s">
        <v>176</v>
      </c>
      <c r="B29" s="6">
        <f>INDEX(Daily_Cash!J2:J91,MATCH(DATE(2026,11,5),Daily_Cash!$A$2:$A$91,0))</f>
        <v>-4500</v>
      </c>
    </row>
    <row r="30" spans="1:2" x14ac:dyDescent="0.45">
      <c r="A30" t="s">
        <v>177</v>
      </c>
      <c r="B30" s="6">
        <f>INDEX(Daily_Cash!G2:G91,MATCH(DATE(2026,11,5),Daily_Cash!$A$2:$A$91,0))+Inputs!$B$26</f>
        <v>-35733.991666666698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Start_Here</vt:lpstr>
      <vt:lpstr>Inputs</vt:lpstr>
      <vt:lpstr>History_DAD</vt:lpstr>
      <vt:lpstr>History_MAT</vt:lpstr>
      <vt:lpstr>History_SIO</vt:lpstr>
      <vt:lpstr>Forecast</vt:lpstr>
      <vt:lpstr>Outflows</vt:lpstr>
      <vt:lpstr>Daily_Cash</vt:lpstr>
      <vt:lpstr>Loan_Schedule</vt:lpstr>
      <vt:lpstr>Policies</vt:lpstr>
      <vt:lpstr>Options</vt:lpstr>
      <vt:lpstr>Daily_Cash!Print_Area</vt:lpstr>
      <vt:lpstr>Forecast!Print_Area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kamalika poddar</cp:lastModifiedBy>
  <dcterms:created xsi:type="dcterms:W3CDTF">2026-10-30T14:56:28Z</dcterms:created>
  <dcterms:modified xsi:type="dcterms:W3CDTF">2026-10-31T07:20:16Z</dcterms:modified>
</cp:coreProperties>
</file>